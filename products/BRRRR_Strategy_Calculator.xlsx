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etting Started" sheetId="2" state="visible" r:id="rId2"/>
    <sheet xmlns:r="http://schemas.openxmlformats.org/officeDocument/2006/relationships" name="Purchase &amp; Rehab" sheetId="3" state="visible" r:id="rId3"/>
    <sheet xmlns:r="http://schemas.openxmlformats.org/officeDocument/2006/relationships" name="Rental Income &amp; Expenses" sheetId="4" state="visible" r:id="rId4"/>
    <sheet xmlns:r="http://schemas.openxmlformats.org/officeDocument/2006/relationships" name="Refinance Analysis" sheetId="5" state="visible" r:id="rId5"/>
    <sheet xmlns:r="http://schemas.openxmlformats.org/officeDocument/2006/relationships" name="Cash Flow Analysis" sheetId="6" state="visible" r:id="rId6"/>
    <sheet xmlns:r="http://schemas.openxmlformats.org/officeDocument/2006/relationships" name="BRRRR Scorecard" sheetId="7" state="visible" r:id="rId7"/>
  </sheets>
  <definedNames/>
  <calcPr calcId="124519" fullCalcOnLoad="1"/>
</workbook>
</file>

<file path=xl/styles.xml><?xml version="1.0" encoding="utf-8"?>
<styleSheet xmlns="http://schemas.openxmlformats.org/spreadsheetml/2006/main">
  <numFmts count="5">
    <numFmt numFmtId="164" formatCode="&quot;$&quot;#,##0"/>
    <numFmt numFmtId="165" formatCode="0.00%;@"/>
    <numFmt numFmtId="166" formatCode="#,##0.00%;@"/>
    <numFmt numFmtId="167" formatCode="0.00&quot;x&quot;"/>
    <numFmt numFmtId="168" formatCode="$#,##0"/>
  </numFmts>
  <fonts count="44">
    <font>
      <name val="Calibri"/>
      <family val="2"/>
      <color theme="1"/>
      <sz val="11"/>
      <scheme val="minor"/>
    </font>
    <font>
      <name val="Calibri"/>
      <b val="1"/>
      <color rgb="00FFFFFF"/>
      <sz val="22"/>
    </font>
    <font>
      <name val="Calibri"/>
      <color rgb="00A8C4E8"/>
      <sz val="13"/>
    </font>
    <font>
      <name val="Calibri"/>
      <b val="1"/>
      <color rgb="00FFFFFF"/>
      <sz val="12"/>
    </font>
    <font>
      <name val="Calibri"/>
      <i val="1"/>
      <color rgb="008E9BAE"/>
      <sz val="11"/>
    </font>
    <font>
      <name val="Calibri"/>
      <color rgb="001A1A2E"/>
      <sz val="13"/>
    </font>
    <font>
      <name val="Calibri"/>
      <b val="1"/>
      <color rgb="002E5BA8"/>
      <sz val="13"/>
    </font>
    <font>
      <name val="Calibri"/>
      <b val="1"/>
      <color rgb="00FFFFFF"/>
      <sz val="13"/>
    </font>
    <font>
      <name val="Calibri"/>
      <b val="1"/>
      <color rgb="00FFFFFF"/>
      <sz val="14"/>
    </font>
    <font>
      <name val="Calibri"/>
      <b val="1"/>
      <color rgb="001A1A2E"/>
      <sz val="13"/>
    </font>
    <font>
      <name val="Calibri"/>
      <b val="1"/>
      <color rgb="00F4A61F"/>
      <sz val="18"/>
    </font>
    <font>
      <name val="Calibri"/>
      <color rgb="00B0BEC5"/>
      <sz val="11"/>
    </font>
    <font>
      <name val="Calibri"/>
      <b val="1"/>
      <color rgb="00F4A61F"/>
      <sz val="16"/>
    </font>
    <font>
      <name val="Calibri"/>
      <b val="1"/>
      <color rgb="00FFFFFF"/>
      <sz val="16"/>
    </font>
    <font>
      <name val="Calibri"/>
      <b val="1"/>
      <color rgb="001A1A2E"/>
      <sz val="11"/>
    </font>
    <font>
      <name val="Calibri"/>
      <b val="1"/>
      <color rgb="00FFFFFF"/>
      <sz val="18"/>
    </font>
    <font>
      <name val="Calibri"/>
      <color rgb="00B0BEC5"/>
      <sz val="12"/>
    </font>
    <font>
      <name val="Calibri"/>
      <b val="1"/>
      <color rgb="001A1A2E"/>
      <sz val="12"/>
    </font>
    <font>
      <name val="Calibri"/>
      <color rgb="001B2A4A"/>
      <sz val="12"/>
    </font>
    <font>
      <name val="Calibri"/>
      <color rgb="008E9BAE"/>
      <sz val="12"/>
    </font>
    <font>
      <name val="Calibri"/>
      <color rgb="001B2A4A"/>
      <sz val="10"/>
    </font>
    <font>
      <name val="Calibri"/>
      <i val="1"/>
      <color rgb="00F4A61F"/>
      <sz val="10"/>
    </font>
    <font>
      <name val="Calibri"/>
      <b val="1"/>
      <color rgb="001B2A4A"/>
      <sz val="8"/>
    </font>
    <font>
      <name val="Calibri"/>
      <b val="1"/>
      <color rgb="001B2A4A"/>
      <sz val="16"/>
    </font>
    <font>
      <name val="Calibri"/>
      <b val="1"/>
      <color rgb="0016A34A"/>
      <sz val="16"/>
    </font>
    <font>
      <name val="Calibri"/>
      <b val="1"/>
      <color rgb="00FFFFFF"/>
      <sz val="11"/>
    </font>
    <font>
      <name val="Calibri"/>
      <i val="1"/>
      <color rgb="0064748B"/>
      <sz val="9"/>
    </font>
    <font>
      <name val="Calibri"/>
      <b val="1"/>
      <color rgb="00FFFFFF"/>
      <sz val="10"/>
    </font>
    <font>
      <name val="Calibri"/>
      <b val="1"/>
      <color rgb="001B2A4A"/>
      <sz val="11"/>
    </font>
    <font>
      <name val="Calibri"/>
      <b val="1"/>
      <color rgb="001B2A4A"/>
      <sz val="12"/>
    </font>
    <font>
      <name val="Calibri"/>
      <b val="1"/>
      <color rgb="00F4A61F"/>
      <sz val="14"/>
    </font>
    <font>
      <name val="Calibri"/>
      <b val="1"/>
      <color rgb="0016A34A"/>
      <sz val="11"/>
    </font>
    <font>
      <name val="Calibri"/>
      <b val="1"/>
      <color rgb="001B2A4A"/>
      <sz val="14"/>
    </font>
    <font>
      <name val="Calibri"/>
      <b val="1"/>
      <color rgb="00FFFFFF"/>
      <sz val="9"/>
    </font>
    <font>
      <name val="Calibri"/>
      <b val="1"/>
      <color rgb="001B2A4A"/>
      <sz val="10"/>
    </font>
    <font>
      <name val="Calibri"/>
      <color rgb="001B2A4A"/>
      <sz val="11"/>
    </font>
    <font>
      <name val="Calibri"/>
      <i val="1"/>
      <color rgb="00F4A61F"/>
      <sz val="11"/>
    </font>
    <font>
      <name val="Calibri"/>
      <b val="1"/>
      <color rgb="00FFFFFF"/>
      <sz val="8"/>
    </font>
    <font>
      <name val="Calibri"/>
      <b val="1"/>
      <color rgb="001B2A4A"/>
      <sz val="18"/>
    </font>
    <font>
      <name val="Calibri"/>
      <b val="1"/>
      <color rgb="0016A34A"/>
      <sz val="18"/>
    </font>
    <font>
      <name val="Calibri"/>
      <color rgb="00FFFFFF"/>
      <sz val="1"/>
    </font>
    <font>
      <name val="Calibri"/>
      <color rgb="00FFFFFF"/>
      <sz val="8"/>
    </font>
    <font>
      <name val="Calibri"/>
      <i val="1"/>
      <color rgb="001B2A4A"/>
      <sz val="10"/>
    </font>
    <font>
      <name val="Calibri"/>
      <i val="1"/>
      <color rgb="00F4A61F"/>
      <sz val="9"/>
    </font>
  </fonts>
  <fills count="14">
    <fill>
      <patternFill/>
    </fill>
    <fill>
      <patternFill patternType="gray125"/>
    </fill>
    <fill>
      <patternFill patternType="solid">
        <fgColor rgb="001B2A4A"/>
      </patternFill>
    </fill>
    <fill>
      <patternFill patternType="solid">
        <fgColor rgb="002E5BA8"/>
      </patternFill>
    </fill>
    <fill>
      <patternFill patternType="solid">
        <fgColor rgb="00F5F7FA"/>
      </patternFill>
    </fill>
    <fill>
      <patternFill patternType="solid">
        <fgColor rgb="00FFFDE7"/>
      </patternFill>
    </fill>
    <fill>
      <patternFill patternType="solid">
        <fgColor rgb="00FFFFFF"/>
      </patternFill>
    </fill>
    <fill>
      <patternFill patternType="solid">
        <fgColor rgb="0027AE60"/>
      </patternFill>
    </fill>
    <fill>
      <patternFill patternType="solid">
        <fgColor rgb="00FFF9C4"/>
      </patternFill>
    </fill>
    <fill>
      <patternFill patternType="solid">
        <fgColor rgb="00F1F5F9"/>
      </patternFill>
    </fill>
    <fill>
      <patternFill patternType="solid">
        <fgColor rgb="00FFFBEB"/>
      </patternFill>
    </fill>
    <fill>
      <patternFill patternType="solid">
        <fgColor rgb="00DBEAFE"/>
      </patternFill>
    </fill>
    <fill>
      <patternFill patternType="solid">
        <fgColor rgb="00D1FAE5"/>
      </patternFill>
    </fill>
    <fill>
      <patternFill patternType="solid">
        <fgColor rgb="00F8FAFC"/>
      </patternFill>
    </fill>
  </fills>
  <borders count="17">
    <border>
      <left/>
      <right/>
      <top/>
      <bottom/>
      <diagonal/>
    </border>
    <border>
      <left style="medium">
        <color rgb="00F4A61F"/>
      </left>
      <bottom style="thin">
        <color rgb="00E8ECF0"/>
      </bottom>
    </border>
    <border>
      <left style="thin">
        <color rgb="00E8ECF0"/>
      </left>
      <right style="thin">
        <color rgb="00E8ECF0"/>
      </right>
      <top style="thin">
        <color rgb="00E8ECF0"/>
      </top>
      <bottom style="thin">
        <color rgb="00E8ECF0"/>
      </bottom>
    </border>
    <border>
      <bottom style="thin">
        <color rgb="00E8ECF0"/>
      </bottom>
    </border>
    <border/>
    <border>
      <left style="thin">
        <color rgb="001B2A4A"/>
      </left>
      <right style="thin">
        <color rgb="001B2A4A"/>
      </right>
      <top style="thin">
        <color rgb="001B2A4A"/>
      </top>
      <bottom style="thin">
        <color rgb="001B2A4A"/>
      </bottom>
    </border>
    <border>
      <left style="thin">
        <color rgb="00CBD5E1"/>
      </left>
      <right style="thin">
        <color rgb="00CBD5E1"/>
      </right>
      <top style="thin">
        <color rgb="00CBD5E1"/>
      </top>
      <bottom style="thin">
        <color rgb="00CBD5E1"/>
      </bottom>
    </border>
    <border>
      <left/>
      <right/>
      <top style="thin">
        <color rgb="001B2A4A"/>
      </top>
      <bottom/>
      <diagonal/>
    </border>
    <border>
      <left/>
      <right style="thin">
        <color rgb="001B2A4A"/>
      </right>
      <top style="thin">
        <color rgb="001B2A4A"/>
      </top>
      <bottom/>
      <diagonal/>
    </border>
    <border>
      <left/>
      <right/>
      <top style="thin">
        <color rgb="001B2A4A"/>
      </top>
      <bottom style="thin">
        <color rgb="001B2A4A"/>
      </bottom>
      <diagonal/>
    </border>
    <border>
      <left/>
      <right style="thin">
        <color rgb="001B2A4A"/>
      </right>
      <top style="thin">
        <color rgb="001B2A4A"/>
      </top>
      <bottom style="thin">
        <color rgb="001B2A4A"/>
      </bottom>
      <diagonal/>
    </border>
    <border>
      <right/>
      <bottom/>
    </border>
    <border>
      <left style="medium">
        <color rgb="001B2A4A"/>
      </left>
      <right style="medium">
        <color rgb="001B2A4A"/>
      </right>
      <top style="medium">
        <color rgb="001B2A4A"/>
      </top>
      <bottom style="medium">
        <color rgb="001B2A4A"/>
      </bottom>
    </border>
    <border>
      <left/>
      <right/>
      <top style="medium">
        <color rgb="001B2A4A"/>
      </top>
      <bottom/>
      <diagonal/>
    </border>
    <border>
      <left/>
      <right style="medium">
        <color rgb="001B2A4A"/>
      </right>
      <top style="medium">
        <color rgb="001B2A4A"/>
      </top>
      <bottom/>
      <diagonal/>
    </border>
    <border>
      <left/>
      <right/>
      <top style="medium">
        <color rgb="001B2A4A"/>
      </top>
      <bottom style="medium">
        <color rgb="001B2A4A"/>
      </bottom>
      <diagonal/>
    </border>
    <border>
      <left/>
      <right style="medium">
        <color rgb="001B2A4A"/>
      </right>
      <top style="medium">
        <color rgb="001B2A4A"/>
      </top>
      <bottom style="medium">
        <color rgb="001B2A4A"/>
      </bottom>
      <diagonal/>
    </border>
  </borders>
  <cellStyleXfs count="1">
    <xf numFmtId="0" fontId="0" fillId="0" borderId="0"/>
  </cellStyleXfs>
  <cellXfs count="179">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11" fillId="2" borderId="0" applyAlignment="1" pivotButton="0" quotePrefix="0" xfId="0">
      <alignment horizontal="center" vertical="center"/>
    </xf>
    <xf numFmtId="0" fontId="11" fillId="3" borderId="0" applyAlignment="1" pivotButton="0" quotePrefix="0" xfId="0">
      <alignment horizontal="center" vertical="center"/>
    </xf>
    <xf numFmtId="164" fontId="12" fillId="2" borderId="0" applyAlignment="1" pivotButton="0" quotePrefix="0" xfId="0">
      <alignment horizontal="center" vertical="center"/>
    </xf>
    <xf numFmtId="164" fontId="13" fillId="3" borderId="0" applyAlignment="1" pivotButton="0" quotePrefix="0" xfId="0">
      <alignment horizontal="center" vertical="center"/>
    </xf>
    <xf numFmtId="0" fontId="11" fillId="7" borderId="0" applyAlignment="1" pivotButton="0" quotePrefix="0" xfId="0">
      <alignment horizontal="center" vertical="center"/>
    </xf>
    <xf numFmtId="164" fontId="13" fillId="7" borderId="0" applyAlignment="1" pivotButton="0" quotePrefix="0" xfId="0">
      <alignment horizontal="center" vertical="center"/>
    </xf>
    <xf numFmtId="164" fontId="12" fillId="3" borderId="0" applyAlignment="1" pivotButton="0" quotePrefix="0" xfId="0">
      <alignment horizontal="center" vertical="center"/>
    </xf>
    <xf numFmtId="165" fontId="12" fillId="3" borderId="0" applyAlignment="1" pivotButton="0" quotePrefix="0" xfId="0">
      <alignment horizontal="center" vertical="center"/>
    </xf>
    <xf numFmtId="49" fontId="12" fillId="2" borderId="0" applyAlignment="1" pivotButton="0" quotePrefix="0" xfId="0">
      <alignment horizontal="center" vertical="center"/>
    </xf>
    <xf numFmtId="0" fontId="14" fillId="0" borderId="0" pivotButton="0" quotePrefix="0" xfId="0"/>
    <xf numFmtId="0" fontId="3" fillId="3" borderId="0" applyAlignment="1" pivotButton="0" quotePrefix="0" xfId="0">
      <alignment horizontal="left" vertical="center"/>
    </xf>
    <xf numFmtId="0" fontId="4" fillId="4" borderId="0" applyAlignment="1" pivotButton="0" quotePrefix="0" xfId="0">
      <alignment horizontal="left" vertical="center"/>
    </xf>
    <xf numFmtId="0" fontId="5" fillId="4" borderId="1" applyAlignment="1" pivotButton="0" quotePrefix="0" xfId="0">
      <alignment horizontal="left" vertical="center"/>
    </xf>
    <xf numFmtId="0" fontId="0" fillId="4" borderId="3" pivotButton="0" quotePrefix="0" xfId="0"/>
    <xf numFmtId="164" fontId="5" fillId="5" borderId="2" applyAlignment="1" pivotButton="0" quotePrefix="0" xfId="0">
      <alignment horizontal="right" vertical="center"/>
    </xf>
    <xf numFmtId="0" fontId="4" fillId="4" borderId="3" applyAlignment="1" pivotButton="0" quotePrefix="0" xfId="0">
      <alignment horizontal="left" vertical="center"/>
    </xf>
    <xf numFmtId="0" fontId="5" fillId="6" borderId="1" applyAlignment="1" pivotButton="0" quotePrefix="0" xfId="0">
      <alignment horizontal="left" vertical="center"/>
    </xf>
    <xf numFmtId="0" fontId="0" fillId="6" borderId="3" pivotButton="0" quotePrefix="0" xfId="0"/>
    <xf numFmtId="0" fontId="4" fillId="6" borderId="3" applyAlignment="1" pivotButton="0" quotePrefix="0" xfId="0">
      <alignment horizontal="left" vertical="center"/>
    </xf>
    <xf numFmtId="9" fontId="5" fillId="5" borderId="2" applyAlignment="1" pivotButton="0" quotePrefix="0" xfId="0">
      <alignment horizontal="right" vertical="center"/>
    </xf>
    <xf numFmtId="164" fontId="6" fillId="4" borderId="2" applyAlignment="1" pivotButton="0" quotePrefix="0" xfId="0">
      <alignment horizontal="right" vertical="center"/>
    </xf>
    <xf numFmtId="10" fontId="5" fillId="5" borderId="2" applyAlignment="1" pivotButton="0" quotePrefix="0" xfId="0">
      <alignment horizontal="right" vertical="center"/>
    </xf>
    <xf numFmtId="3" fontId="5" fillId="5" borderId="2" applyAlignment="1" pivotButton="0" quotePrefix="0" xfId="0">
      <alignment horizontal="right" vertical="center"/>
    </xf>
    <xf numFmtId="0" fontId="7" fillId="2" borderId="0" applyAlignment="1" pivotButton="0" quotePrefix="0" xfId="0">
      <alignment horizontal="left" vertical="center"/>
    </xf>
    <xf numFmtId="164" fontId="8" fillId="2" borderId="0" applyAlignment="1" pivotButton="0" quotePrefix="0" xfId="0">
      <alignment horizontal="right" vertical="center"/>
    </xf>
    <xf numFmtId="10" fontId="6" fillId="4" borderId="2" applyAlignment="1" pivotButton="0" quotePrefix="0" xfId="0">
      <alignment horizontal="right" vertical="center"/>
    </xf>
    <xf numFmtId="49" fontId="8" fillId="2" borderId="0" applyAlignment="1" pivotButton="0" quotePrefix="0" xfId="0">
      <alignment horizontal="right" vertical="center"/>
    </xf>
    <xf numFmtId="166" fontId="6" fillId="4" borderId="2" applyAlignment="1" pivotButton="0" quotePrefix="0" xfId="0">
      <alignment horizontal="right" vertical="center"/>
    </xf>
    <xf numFmtId="167" fontId="6" fillId="4" borderId="2" applyAlignment="1" pivotButton="0" quotePrefix="0" xfId="0">
      <alignment horizontal="right" vertical="center"/>
    </xf>
    <xf numFmtId="0" fontId="7" fillId="3" borderId="0" applyAlignment="1" pivotButton="0" quotePrefix="0" xfId="0">
      <alignment horizontal="center" vertical="center"/>
    </xf>
    <xf numFmtId="164" fontId="9" fillId="6" borderId="2" applyAlignment="1" pivotButton="0" quotePrefix="0" xfId="0">
      <alignment horizontal="right" vertical="center"/>
    </xf>
    <xf numFmtId="0" fontId="4" fillId="6" borderId="2" applyAlignment="1" pivotButton="0" quotePrefix="0" xfId="0">
      <alignment horizontal="center" vertical="center"/>
    </xf>
    <xf numFmtId="0" fontId="9" fillId="6" borderId="2" applyAlignment="1" pivotButton="0" quotePrefix="0" xfId="0">
      <alignment horizontal="center" vertical="center"/>
    </xf>
    <xf numFmtId="164" fontId="9" fillId="4" borderId="2" applyAlignment="1" pivotButton="0" quotePrefix="0" xfId="0">
      <alignment horizontal="right" vertical="center"/>
    </xf>
    <xf numFmtId="0" fontId="4" fillId="4" borderId="2" applyAlignment="1" pivotButton="0" quotePrefix="0" xfId="0">
      <alignment horizontal="center" vertical="center"/>
    </xf>
    <xf numFmtId="0" fontId="9" fillId="4" borderId="2" applyAlignment="1" pivotButton="0" quotePrefix="0" xfId="0">
      <alignment horizontal="center" vertical="center"/>
    </xf>
    <xf numFmtId="167" fontId="9" fillId="6" borderId="2" applyAlignment="1" pivotButton="0" quotePrefix="0" xfId="0">
      <alignment horizontal="right" vertical="center"/>
    </xf>
    <xf numFmtId="166" fontId="9" fillId="4" borderId="2" applyAlignment="1" pivotButton="0" quotePrefix="0" xfId="0">
      <alignment horizontal="right" vertical="center"/>
    </xf>
    <xf numFmtId="10" fontId="9" fillId="6" borderId="2" applyAlignment="1" pivotButton="0" quotePrefix="0" xfId="0">
      <alignment horizontal="right" vertical="center"/>
    </xf>
    <xf numFmtId="49" fontId="9" fillId="4" borderId="2" applyAlignment="1" pivotButton="0" quotePrefix="0" xfId="0">
      <alignment horizontal="right" vertical="center"/>
    </xf>
    <xf numFmtId="0" fontId="8" fillId="2" borderId="0" applyAlignment="1" pivotButton="0" quotePrefix="0" xfId="0">
      <alignment horizontal="left" vertical="center"/>
    </xf>
    <xf numFmtId="0" fontId="10" fillId="2" borderId="0" applyAlignment="1" pivotButton="0" quotePrefix="0" xfId="0">
      <alignment horizontal="center" vertical="center"/>
    </xf>
    <xf numFmtId="0" fontId="8" fillId="3" borderId="0" applyAlignment="1" pivotButton="0" quotePrefix="0" xfId="0">
      <alignment horizontal="left" vertical="center"/>
    </xf>
    <xf numFmtId="0" fontId="5" fillId="6" borderId="1" applyAlignment="1" pivotButton="0" quotePrefix="0" xfId="0">
      <alignment horizontal="left" vertical="center" wrapText="1"/>
    </xf>
    <xf numFmtId="0" fontId="5" fillId="4" borderId="1" applyAlignment="1" pivotButton="0" quotePrefix="0" xfId="0">
      <alignment horizontal="left" vertical="center" wrapText="1"/>
    </xf>
    <xf numFmtId="165" fontId="12" fillId="3" borderId="0" applyAlignment="1" pivotButton="0" quotePrefix="0" xfId="0">
      <alignment horizontal="center" vertical="center"/>
    </xf>
    <xf numFmtId="166" fontId="6" fillId="4" borderId="2" applyAlignment="1" pivotButton="0" quotePrefix="0" xfId="0">
      <alignment horizontal="right" vertical="center"/>
    </xf>
    <xf numFmtId="166" fontId="9" fillId="4" borderId="2" applyAlignment="1" pivotButton="0" quotePrefix="0" xfId="0">
      <alignment horizontal="right" vertical="center"/>
    </xf>
    <xf numFmtId="0" fontId="0" fillId="2" borderId="0" pivotButton="0" quotePrefix="0" xfId="0"/>
    <xf numFmtId="0" fontId="15" fillId="2" borderId="0" applyAlignment="1" pivotButton="0" quotePrefix="0" xfId="0">
      <alignment horizontal="center" vertical="center"/>
    </xf>
    <xf numFmtId="0" fontId="1" fillId="0"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0" borderId="0" applyAlignment="1" applyProtection="1" pivotButton="0" quotePrefix="0" xfId="0">
      <alignment horizontal="center" vertical="center"/>
      <protection locked="0" hidden="0"/>
    </xf>
    <xf numFmtId="0" fontId="16" fillId="0" borderId="0" applyAlignment="1" applyProtection="1" pivotButton="0" quotePrefix="0" xfId="0">
      <alignment horizontal="center" vertical="center"/>
      <protection locked="0" hidden="0"/>
    </xf>
    <xf numFmtId="164" fontId="12" fillId="0" borderId="0" applyAlignment="1" pivotButton="0" quotePrefix="0" xfId="0">
      <alignment horizontal="center" vertical="center"/>
    </xf>
    <xf numFmtId="164" fontId="13" fillId="0" borderId="0" applyAlignment="1" pivotButton="0" quotePrefix="0" xfId="0">
      <alignment horizontal="center" vertical="center"/>
    </xf>
    <xf numFmtId="165" fontId="12" fillId="0" borderId="0" applyAlignment="1" pivotButton="0" quotePrefix="0" xfId="0">
      <alignment horizontal="center" vertical="center"/>
    </xf>
    <xf numFmtId="49" fontId="12" fillId="0" borderId="0" applyAlignment="1" pivotButton="0" quotePrefix="0" xfId="0">
      <alignment horizontal="center" vertical="center"/>
    </xf>
    <xf numFmtId="0" fontId="17" fillId="0" borderId="0" applyProtection="1" pivotButton="0" quotePrefix="0" xfId="0">
      <protection locked="0" hidden="0"/>
    </xf>
    <xf numFmtId="0" fontId="18" fillId="0" borderId="0" applyProtection="1" pivotButton="0" quotePrefix="0" xfId="0">
      <protection locked="0" hidden="0"/>
    </xf>
    <xf numFmtId="0" fontId="18" fillId="0" borderId="0" pivotButton="0" quotePrefix="0" xfId="0"/>
    <xf numFmtId="0" fontId="3" fillId="0" borderId="0"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5" fillId="0" borderId="1" applyAlignment="1" applyProtection="1" pivotButton="0" quotePrefix="0" xfId="0">
      <alignment horizontal="left" vertical="center"/>
      <protection locked="0" hidden="0"/>
    </xf>
    <xf numFmtId="0" fontId="0" fillId="4" borderId="3" applyProtection="1" pivotButton="0" quotePrefix="0" xfId="0">
      <protection locked="0" hidden="0"/>
    </xf>
    <xf numFmtId="164" fontId="5" fillId="8" borderId="2" applyAlignment="1" applyProtection="1" pivotButton="0" quotePrefix="0" xfId="0">
      <alignment horizontal="right" vertical="center"/>
      <protection locked="0" hidden="0"/>
    </xf>
    <xf numFmtId="0" fontId="19" fillId="0" borderId="3" applyAlignment="1" applyProtection="1" pivotButton="0" quotePrefix="0" xfId="0">
      <alignment horizontal="left" vertical="center"/>
      <protection locked="0" hidden="0"/>
    </xf>
    <xf numFmtId="0" fontId="0" fillId="6" borderId="3" applyProtection="1" pivotButton="0" quotePrefix="0" xfId="0">
      <protection locked="0" hidden="0"/>
    </xf>
    <xf numFmtId="9" fontId="5" fillId="8" borderId="2" applyAlignment="1" applyProtection="1" pivotButton="0" quotePrefix="0" xfId="0">
      <alignment horizontal="right" vertical="center"/>
      <protection locked="0" hidden="0"/>
    </xf>
    <xf numFmtId="164" fontId="6" fillId="0" borderId="2" applyAlignment="1" pivotButton="0" quotePrefix="0" xfId="0">
      <alignment horizontal="right" vertical="center"/>
    </xf>
    <xf numFmtId="10" fontId="5" fillId="8" borderId="2" applyAlignment="1" applyProtection="1" pivotButton="0" quotePrefix="0" xfId="0">
      <alignment horizontal="right" vertical="center"/>
      <protection locked="0" hidden="0"/>
    </xf>
    <xf numFmtId="3" fontId="5" fillId="8" borderId="2" applyAlignment="1" applyProtection="1" pivotButton="0" quotePrefix="0" xfId="0">
      <alignment horizontal="right" vertical="center"/>
      <protection locked="0" hidden="0"/>
    </xf>
    <xf numFmtId="0" fontId="7" fillId="0" borderId="0" applyAlignment="1" applyProtection="1" pivotButton="0" quotePrefix="0" xfId="0">
      <alignment horizontal="left" vertical="center"/>
      <protection locked="0" hidden="0"/>
    </xf>
    <xf numFmtId="164" fontId="8" fillId="0" borderId="0" applyAlignment="1" pivotButton="0" quotePrefix="0" xfId="0">
      <alignment horizontal="right" vertical="center"/>
    </xf>
    <xf numFmtId="10" fontId="6" fillId="0" borderId="2" applyAlignment="1" pivotButton="0" quotePrefix="0" xfId="0">
      <alignment horizontal="right" vertical="center"/>
    </xf>
    <xf numFmtId="49" fontId="8" fillId="0" borderId="0" applyAlignment="1" pivotButton="0" quotePrefix="0" xfId="0">
      <alignment horizontal="right" vertical="center"/>
    </xf>
    <xf numFmtId="166" fontId="6" fillId="0" borderId="2" applyAlignment="1" pivotButton="0" quotePrefix="0" xfId="0">
      <alignment horizontal="right" vertical="center"/>
    </xf>
    <xf numFmtId="167" fontId="6" fillId="0" borderId="2" applyAlignment="1" pivotButton="0" quotePrefix="0" xfId="0">
      <alignment horizontal="right" vertical="center"/>
    </xf>
    <xf numFmtId="0" fontId="7" fillId="0" borderId="0" applyAlignment="1" applyProtection="1" pivotButton="0" quotePrefix="0" xfId="0">
      <alignment horizontal="center" vertical="center"/>
      <protection locked="0" hidden="0"/>
    </xf>
    <xf numFmtId="164" fontId="9" fillId="0" borderId="2" applyAlignment="1" pivotButton="0" quotePrefix="0" xfId="0">
      <alignment horizontal="right" vertical="center"/>
    </xf>
    <xf numFmtId="0" fontId="19" fillId="0" borderId="2" applyAlignment="1" applyProtection="1" pivotButton="0" quotePrefix="0" xfId="0">
      <alignment horizontal="center" vertical="center"/>
      <protection locked="0" hidden="0"/>
    </xf>
    <xf numFmtId="0" fontId="9" fillId="0" borderId="2" applyAlignment="1" pivotButton="0" quotePrefix="0" xfId="0">
      <alignment horizontal="center" vertical="center"/>
    </xf>
    <xf numFmtId="0" fontId="9" fillId="6" borderId="2" applyAlignment="1" applyProtection="1" pivotButton="0" quotePrefix="0" xfId="0">
      <alignment horizontal="center" vertical="center"/>
      <protection locked="0" hidden="0"/>
    </xf>
    <xf numFmtId="167" fontId="9" fillId="0" borderId="2" applyAlignment="1" pivotButton="0" quotePrefix="0" xfId="0">
      <alignment horizontal="right" vertical="center"/>
    </xf>
    <xf numFmtId="166" fontId="9" fillId="0" borderId="2" applyAlignment="1" pivotButton="0" quotePrefix="0" xfId="0">
      <alignment horizontal="right" vertical="center"/>
    </xf>
    <xf numFmtId="10" fontId="9" fillId="0" borderId="2" applyAlignment="1" pivotButton="0" quotePrefix="0" xfId="0">
      <alignment horizontal="right" vertical="center"/>
    </xf>
    <xf numFmtId="49" fontId="9" fillId="0" borderId="2" applyAlignment="1" pivotButton="0" quotePrefix="0" xfId="0">
      <alignment horizontal="right" vertical="center"/>
    </xf>
    <xf numFmtId="0" fontId="8" fillId="0" borderId="0" applyAlignment="1" applyProtection="1" pivotButton="0" quotePrefix="0" xfId="0">
      <alignment horizontal="left" vertical="center"/>
      <protection locked="0" hidden="0"/>
    </xf>
    <xf numFmtId="0" fontId="10" fillId="0" borderId="0" applyAlignment="1" pivotButton="0" quotePrefix="0" xfId="0">
      <alignment horizontal="center" vertical="center"/>
    </xf>
    <xf numFmtId="0" fontId="5" fillId="0" borderId="1" applyAlignment="1" applyProtection="1" pivotButton="0" quotePrefix="0" xfId="0">
      <alignment horizontal="left" vertical="center" wrapText="1"/>
      <protection locked="0" hidden="0"/>
    </xf>
    <xf numFmtId="0" fontId="13" fillId="2" borderId="4" applyAlignment="1" pivotButton="0" quotePrefix="0" xfId="0">
      <alignment horizontal="center" vertical="center" wrapText="1"/>
    </xf>
    <xf numFmtId="0" fontId="0" fillId="6" borderId="4" pivotButton="0" quotePrefix="0" xfId="0"/>
    <xf numFmtId="0" fontId="21" fillId="2" borderId="4" applyAlignment="1" pivotButton="0" quotePrefix="0" xfId="0">
      <alignment horizontal="center" vertical="center" wrapText="1"/>
    </xf>
    <xf numFmtId="0" fontId="20" fillId="6" borderId="4" pivotButton="0" quotePrefix="0" xfId="0"/>
    <xf numFmtId="0" fontId="20" fillId="6" borderId="4" applyProtection="1" pivotButton="0" quotePrefix="0" xfId="0">
      <protection locked="0" hidden="0"/>
    </xf>
    <xf numFmtId="0" fontId="22" fillId="9" borderId="5" applyAlignment="1" applyProtection="1" pivotButton="0" quotePrefix="0" xfId="0">
      <alignment horizontal="center" vertical="center" wrapText="1"/>
      <protection locked="0" hidden="0"/>
    </xf>
    <xf numFmtId="0" fontId="22" fillId="9" borderId="5" applyAlignment="1" pivotButton="0" quotePrefix="0" xfId="0">
      <alignment horizontal="center" vertical="center" wrapText="1"/>
    </xf>
    <xf numFmtId="168" fontId="23" fillId="6" borderId="5" applyAlignment="1" applyProtection="1" pivotButton="0" quotePrefix="0" xfId="0">
      <alignment horizontal="center" vertical="center" wrapText="1"/>
      <protection locked="0" hidden="0"/>
    </xf>
    <xf numFmtId="168" fontId="23" fillId="6" borderId="5" applyAlignment="1" pivotButton="0" quotePrefix="0" xfId="0">
      <alignment horizontal="center" vertical="center" wrapText="1"/>
    </xf>
    <xf numFmtId="164" fontId="20" fillId="6" borderId="4" pivotButton="0" quotePrefix="0" xfId="0"/>
    <xf numFmtId="168" fontId="12" fillId="6" borderId="5" applyAlignment="1" applyProtection="1" pivotButton="0" quotePrefix="0" xfId="0">
      <alignment horizontal="center" vertical="center" wrapText="1"/>
      <protection locked="0" hidden="0"/>
    </xf>
    <xf numFmtId="10" fontId="23" fillId="6" borderId="5" applyAlignment="1" pivotButton="0" quotePrefix="0" xfId="0">
      <alignment horizontal="center" vertical="center" wrapText="1"/>
    </xf>
    <xf numFmtId="49" fontId="24" fillId="6" borderId="5" applyAlignment="1" pivotButton="0" quotePrefix="0" xfId="0">
      <alignment horizontal="center" vertical="center" wrapText="1"/>
    </xf>
    <xf numFmtId="0" fontId="25" fillId="2" borderId="4" applyAlignment="1" pivotButton="0" quotePrefix="0" xfId="0">
      <alignment horizontal="center" vertical="center" wrapText="1"/>
    </xf>
    <xf numFmtId="0" fontId="26" fillId="9" borderId="4" applyAlignment="1" pivotButton="0" quotePrefix="0" xfId="0">
      <alignment horizontal="left" vertical="center" wrapText="1" indent="1"/>
    </xf>
    <xf numFmtId="0" fontId="27" fillId="2" borderId="4" applyAlignment="1" pivotButton="0" quotePrefix="0" xfId="0">
      <alignment horizontal="left" vertical="center" wrapText="1" indent="1"/>
    </xf>
    <xf numFmtId="0" fontId="20" fillId="6" borderId="4" applyAlignment="1" applyProtection="1" pivotButton="0" quotePrefix="0" xfId="0">
      <alignment horizontal="left" vertical="center" wrapText="1" indent="1"/>
      <protection locked="0" hidden="0"/>
    </xf>
    <xf numFmtId="168" fontId="28" fillId="10" borderId="5" applyAlignment="1" applyProtection="1" pivotButton="0" quotePrefix="0" xfId="0">
      <alignment horizontal="center" vertical="center" wrapText="1"/>
      <protection locked="0" hidden="0"/>
    </xf>
    <xf numFmtId="0" fontId="26" fillId="6" borderId="4" applyAlignment="1" applyProtection="1" pivotButton="0" quotePrefix="0" xfId="0">
      <alignment horizontal="left" vertical="center" wrapText="1" indent="1"/>
      <protection locked="0" hidden="0"/>
    </xf>
    <xf numFmtId="168" fontId="29" fillId="11" borderId="5" applyAlignment="1" applyProtection="1" pivotButton="0" quotePrefix="0" xfId="0">
      <alignment horizontal="center" vertical="center" wrapText="1"/>
      <protection locked="0" hidden="0"/>
    </xf>
    <xf numFmtId="9" fontId="28" fillId="10" borderId="5" applyAlignment="1" applyProtection="1" pivotButton="0" quotePrefix="0" xfId="0">
      <alignment horizontal="center" vertical="center" wrapText="1"/>
      <protection locked="0" hidden="0"/>
    </xf>
    <xf numFmtId="168" fontId="28" fillId="11" borderId="5" applyAlignment="1" applyProtection="1" pivotButton="0" quotePrefix="0" xfId="0">
      <alignment horizontal="center" vertical="center" wrapText="1"/>
      <protection locked="0" hidden="0"/>
    </xf>
    <xf numFmtId="168" fontId="30" fillId="2" borderId="5" applyAlignment="1" applyProtection="1" pivotButton="0" quotePrefix="0" xfId="0">
      <alignment horizontal="center" vertical="center" wrapText="1"/>
      <protection locked="0" hidden="0"/>
    </xf>
    <xf numFmtId="10" fontId="20" fillId="6" borderId="4" applyProtection="1" pivotButton="0" quotePrefix="0" xfId="0">
      <protection locked="0" hidden="0"/>
    </xf>
    <xf numFmtId="3" fontId="20" fillId="6" borderId="4" applyProtection="1" pivotButton="0" quotePrefix="0" xfId="0">
      <protection locked="0" hidden="0"/>
    </xf>
    <xf numFmtId="9" fontId="28" fillId="10" borderId="5" applyAlignment="1" pivotButton="0" quotePrefix="0" xfId="0">
      <alignment horizontal="center" vertical="center" wrapText="1"/>
    </xf>
    <xf numFmtId="0" fontId="26" fillId="6" borderId="4" applyAlignment="1" pivotButton="0" quotePrefix="0" xfId="0">
      <alignment horizontal="left" vertical="center" wrapText="1" indent="1"/>
    </xf>
    <xf numFmtId="10" fontId="20" fillId="6" borderId="4" pivotButton="0" quotePrefix="0" xfId="0"/>
    <xf numFmtId="10" fontId="28" fillId="10" borderId="5" applyAlignment="1" applyProtection="1" pivotButton="0" quotePrefix="0" xfId="0">
      <alignment horizontal="center" vertical="center" wrapText="1"/>
      <protection locked="0" hidden="0"/>
    </xf>
    <xf numFmtId="0" fontId="28" fillId="10" borderId="5" applyAlignment="1" applyProtection="1" pivotButton="0" quotePrefix="0" xfId="0">
      <alignment horizontal="center" vertical="center" wrapText="1"/>
      <protection locked="0" hidden="0"/>
    </xf>
    <xf numFmtId="168" fontId="29" fillId="11" borderId="5" applyAlignment="1" pivotButton="0" quotePrefix="0" xfId="0">
      <alignment horizontal="center" vertical="center" wrapText="1"/>
    </xf>
    <xf numFmtId="49" fontId="20" fillId="6" borderId="4" pivotButton="0" quotePrefix="0" xfId="0"/>
    <xf numFmtId="0" fontId="31" fillId="12" borderId="0" applyAlignment="1" pivotButton="0" quotePrefix="0" xfId="0">
      <alignment horizontal="left" vertical="center" wrapText="1" indent="1"/>
    </xf>
    <xf numFmtId="168" fontId="23" fillId="9" borderId="5" applyAlignment="1" applyProtection="1" pivotButton="0" quotePrefix="0" xfId="0">
      <alignment horizontal="center" vertical="center" wrapText="1"/>
      <protection locked="0" hidden="0"/>
    </xf>
    <xf numFmtId="168" fontId="32" fillId="11" borderId="5" applyAlignment="1" applyProtection="1" pivotButton="0" quotePrefix="0" xfId="0">
      <alignment horizontal="center" vertical="center" wrapText="1"/>
      <protection locked="0" hidden="0"/>
    </xf>
    <xf numFmtId="10" fontId="28" fillId="11" borderId="5" applyAlignment="1" applyProtection="1" pivotButton="0" quotePrefix="0" xfId="0">
      <alignment horizontal="center" vertical="center" wrapText="1"/>
      <protection locked="0" hidden="0"/>
    </xf>
    <xf numFmtId="2" fontId="28" fillId="11" borderId="5" applyAlignment="1" applyProtection="1" pivotButton="0" quotePrefix="0" xfId="0">
      <alignment horizontal="center" vertical="center" wrapText="1"/>
      <protection locked="0" hidden="0"/>
    </xf>
    <xf numFmtId="0" fontId="33" fillId="2" borderId="5" applyAlignment="1" applyProtection="1" pivotButton="0" quotePrefix="0" xfId="0">
      <alignment horizontal="center" vertical="center" wrapText="1"/>
      <protection locked="0" hidden="0"/>
    </xf>
    <xf numFmtId="0" fontId="20" fillId="13" borderId="6" applyAlignment="1" applyProtection="1" pivotButton="0" quotePrefix="0" xfId="0">
      <alignment horizontal="left" vertical="center" wrapText="1" indent="1"/>
      <protection locked="0" hidden="0"/>
    </xf>
    <xf numFmtId="168" fontId="34" fillId="13" borderId="6" applyAlignment="1" pivotButton="0" quotePrefix="0" xfId="0">
      <alignment horizontal="center" vertical="center" wrapText="1"/>
    </xf>
    <xf numFmtId="0" fontId="26" fillId="13" borderId="6" applyAlignment="1" pivotButton="0" quotePrefix="0" xfId="0">
      <alignment horizontal="center" vertical="center" wrapText="1"/>
    </xf>
    <xf numFmtId="0" fontId="34" fillId="13" borderId="6" applyAlignment="1" pivotButton="0" quotePrefix="0" xfId="0">
      <alignment horizontal="center" vertical="center" wrapText="1"/>
    </xf>
    <xf numFmtId="0" fontId="20" fillId="6" borderId="6" applyAlignment="1" applyProtection="1" pivotButton="0" quotePrefix="0" xfId="0">
      <alignment horizontal="left" vertical="center" wrapText="1" indent="1"/>
      <protection locked="0" hidden="0"/>
    </xf>
    <xf numFmtId="168" fontId="34" fillId="6" borderId="6" applyAlignment="1" applyProtection="1" pivotButton="0" quotePrefix="0" xfId="0">
      <alignment horizontal="center" vertical="center" wrapText="1"/>
      <protection locked="0" hidden="0"/>
    </xf>
    <xf numFmtId="0" fontId="26" fillId="6" borderId="6" applyAlignment="1" applyProtection="1" pivotButton="0" quotePrefix="0" xfId="0">
      <alignment horizontal="center" vertical="center" wrapText="1"/>
      <protection locked="0" hidden="0"/>
    </xf>
    <xf numFmtId="0" fontId="34" fillId="6" borderId="6" applyAlignment="1" applyProtection="1" pivotButton="0" quotePrefix="0" xfId="0">
      <alignment horizontal="center" vertical="center" wrapText="1"/>
      <protection locked="0" hidden="0"/>
    </xf>
    <xf numFmtId="168" fontId="34" fillId="13" borderId="6" applyAlignment="1" applyProtection="1" pivotButton="0" quotePrefix="0" xfId="0">
      <alignment horizontal="center" vertical="center" wrapText="1"/>
      <protection locked="0" hidden="0"/>
    </xf>
    <xf numFmtId="0" fontId="26" fillId="13" borderId="6" applyAlignment="1" applyProtection="1" pivotButton="0" quotePrefix="0" xfId="0">
      <alignment horizontal="center" vertical="center" wrapText="1"/>
      <protection locked="0" hidden="0"/>
    </xf>
    <xf numFmtId="0" fontId="34" fillId="13" borderId="6" applyAlignment="1" applyProtection="1" pivotButton="0" quotePrefix="0" xfId="0">
      <alignment horizontal="center" vertical="center" wrapText="1"/>
      <protection locked="0" hidden="0"/>
    </xf>
    <xf numFmtId="168" fontId="34" fillId="6" borderId="6" applyAlignment="1" pivotButton="0" quotePrefix="0" xfId="0">
      <alignment horizontal="center" vertical="center" wrapText="1"/>
    </xf>
    <xf numFmtId="0" fontId="34" fillId="6" borderId="6" applyAlignment="1" pivotButton="0" quotePrefix="0" xfId="0">
      <alignment horizontal="center" vertical="center" wrapText="1"/>
    </xf>
    <xf numFmtId="2" fontId="34" fillId="6" borderId="6" applyAlignment="1" pivotButton="0" quotePrefix="0" xfId="0">
      <alignment horizontal="center" vertical="center" wrapText="1"/>
    </xf>
    <xf numFmtId="167" fontId="20" fillId="6" borderId="4" pivotButton="0" quotePrefix="0" xfId="0"/>
    <xf numFmtId="166" fontId="20" fillId="6" borderId="4" pivotButton="0" quotePrefix="0" xfId="0"/>
    <xf numFmtId="0" fontId="0" fillId="0" borderId="9" applyProtection="1" pivotButton="0" quotePrefix="0" xfId="0">
      <protection locked="0" hidden="0"/>
    </xf>
    <xf numFmtId="0" fontId="0" fillId="0" borderId="10" applyProtection="1" pivotButton="0" quotePrefix="0" xfId="0">
      <protection locked="0" hidden="0"/>
    </xf>
    <xf numFmtId="0" fontId="0" fillId="0" borderId="9" pivotButton="0" quotePrefix="0" xfId="0"/>
    <xf numFmtId="0" fontId="0" fillId="0" borderId="10" pivotButton="0" quotePrefix="0" xfId="0"/>
    <xf numFmtId="0" fontId="25" fillId="2" borderId="4" applyAlignment="1" pivotButton="0" quotePrefix="0" xfId="0">
      <alignment horizontal="left" vertical="center" wrapText="1" indent="1"/>
    </xf>
    <xf numFmtId="0" fontId="35" fillId="9" borderId="4" applyAlignment="1" pivotButton="0" quotePrefix="0" xfId="0">
      <alignment horizontal="left" vertical="top" wrapText="1" indent="2"/>
    </xf>
    <xf numFmtId="0" fontId="26" fillId="6" borderId="11" applyAlignment="1" applyProtection="1" pivotButton="0" quotePrefix="0" xfId="0">
      <alignment horizontal="left" vertical="center" wrapText="1" indent="1"/>
      <protection locked="0" hidden="0"/>
    </xf>
    <xf numFmtId="0" fontId="15" fillId="2" borderId="4" applyAlignment="1" pivotButton="0" quotePrefix="0" xfId="0">
      <alignment horizontal="center" vertical="center" wrapText="1"/>
    </xf>
    <xf numFmtId="0" fontId="36" fillId="2" borderId="4" applyAlignment="1" pivotButton="0" quotePrefix="0" xfId="0">
      <alignment horizontal="center" vertical="center" wrapText="1"/>
    </xf>
    <xf numFmtId="0" fontId="37" fillId="2" borderId="12" applyAlignment="1" applyProtection="1" pivotButton="0" quotePrefix="0" xfId="0">
      <alignment horizontal="center" vertical="center" wrapText="1"/>
      <protection locked="0" hidden="0"/>
    </xf>
    <xf numFmtId="0" fontId="37" fillId="2" borderId="12" applyAlignment="1" pivotButton="0" quotePrefix="0" xfId="0">
      <alignment horizontal="center" vertical="center" wrapText="1"/>
    </xf>
    <xf numFmtId="168" fontId="38" fillId="6" borderId="12" applyAlignment="1" applyProtection="1" pivotButton="0" quotePrefix="0" xfId="0">
      <alignment horizontal="center" vertical="center" wrapText="1"/>
      <protection locked="0" hidden="0"/>
    </xf>
    <xf numFmtId="168" fontId="38" fillId="6" borderId="12" applyAlignment="1" pivotButton="0" quotePrefix="0" xfId="0">
      <alignment horizontal="center" vertical="center" wrapText="1"/>
    </xf>
    <xf numFmtId="168" fontId="10" fillId="6" borderId="12" applyAlignment="1" applyProtection="1" pivotButton="0" quotePrefix="0" xfId="0">
      <alignment horizontal="center" vertical="center" wrapText="1"/>
      <protection locked="0" hidden="0"/>
    </xf>
    <xf numFmtId="10" fontId="38" fillId="6" borderId="12" applyAlignment="1" pivotButton="0" quotePrefix="0" xfId="0">
      <alignment horizontal="center" vertical="center" wrapText="1"/>
    </xf>
    <xf numFmtId="49" fontId="39" fillId="6" borderId="12" applyAlignment="1" pivotButton="0" quotePrefix="0" xfId="0">
      <alignment horizontal="center" vertical="center" wrapText="1"/>
    </xf>
    <xf numFmtId="0" fontId="0" fillId="0" borderId="15" applyProtection="1" pivotButton="0" quotePrefix="0" xfId="0">
      <protection locked="0" hidden="0"/>
    </xf>
    <xf numFmtId="0" fontId="0" fillId="0" borderId="16" applyProtection="1" pivotButton="0" quotePrefix="0" xfId="0">
      <protection locked="0" hidden="0"/>
    </xf>
    <xf numFmtId="0" fontId="0" fillId="0" borderId="15" pivotButton="0" quotePrefix="0" xfId="0"/>
    <xf numFmtId="0" fontId="0" fillId="0" borderId="16" pivotButton="0" quotePrefix="0" xfId="0"/>
    <xf numFmtId="0" fontId="40" fillId="6" borderId="4" pivotButton="0" quotePrefix="0" xfId="0"/>
    <xf numFmtId="0" fontId="40" fillId="6" borderId="4" applyProtection="1" pivotButton="0" quotePrefix="0" xfId="0">
      <protection locked="0" hidden="0"/>
    </xf>
    <xf numFmtId="0" fontId="41" fillId="6" borderId="4" pivotButton="0" quotePrefix="0" xfId="0"/>
    <xf numFmtId="0" fontId="37" fillId="2" borderId="5" applyAlignment="1" applyProtection="1" pivotButton="0" quotePrefix="0" xfId="0">
      <alignment horizontal="center" vertical="center" wrapText="1"/>
      <protection locked="0" hidden="0"/>
    </xf>
    <xf numFmtId="0" fontId="37" fillId="2" borderId="5" applyAlignment="1" pivotButton="0" quotePrefix="0" xfId="0">
      <alignment horizontal="center" vertical="center" wrapText="1"/>
    </xf>
    <xf numFmtId="168" fontId="38" fillId="6" borderId="5" applyAlignment="1" applyProtection="1" pivotButton="0" quotePrefix="0" xfId="0">
      <alignment horizontal="center" vertical="center" wrapText="1"/>
      <protection locked="0" hidden="0"/>
    </xf>
    <xf numFmtId="168" fontId="38" fillId="6" borderId="5" applyAlignment="1" pivotButton="0" quotePrefix="0" xfId="0">
      <alignment horizontal="center" vertical="center" wrapText="1"/>
    </xf>
    <xf numFmtId="168" fontId="10" fillId="6" borderId="5" applyAlignment="1" applyProtection="1" pivotButton="0" quotePrefix="0" xfId="0">
      <alignment horizontal="center" vertical="center" wrapText="1"/>
      <protection locked="0" hidden="0"/>
    </xf>
    <xf numFmtId="10" fontId="38" fillId="6" borderId="5" applyAlignment="1" pivotButton="0" quotePrefix="0" xfId="0">
      <alignment horizontal="center" vertical="center" wrapText="1"/>
    </xf>
    <xf numFmtId="49" fontId="39" fillId="6" borderId="5" applyAlignment="1" pivotButton="0" quotePrefix="0" xfId="0">
      <alignment horizontal="center" vertical="center" wrapText="1"/>
    </xf>
    <xf numFmtId="0" fontId="42" fillId="9" borderId="4" applyAlignment="1" pivotButton="0" quotePrefix="0" xfId="0">
      <alignment horizontal="left" vertical="center" wrapText="1" indent="2"/>
    </xf>
    <xf numFmtId="0" fontId="43" fillId="2" borderId="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AN200"/>
  <sheetViews>
    <sheetView showGridLines="0" tabSelected="1" workbookViewId="0">
      <selection activeCell="B4" sqref="B4"/>
    </sheetView>
  </sheetViews>
  <sheetFormatPr baseColWidth="8" defaultRowHeight="15"/>
  <cols>
    <col width="2" customWidth="1" min="1" max="1"/>
    <col width="14" customWidth="1" min="2" max="2"/>
    <col width="8" customWidth="1" min="3" max="3"/>
    <col width="12" customWidth="1" min="4" max="4"/>
    <col width="3" customWidth="1" min="5" max="5"/>
    <col width="14" customWidth="1" min="6" max="6"/>
    <col width="8" customWidth="1" min="7" max="7"/>
    <col width="12" customWidth="1" min="8" max="8"/>
    <col width="3" customWidth="1" min="9" max="9"/>
    <col width="14" customWidth="1" min="10" max="10"/>
    <col width="8" customWidth="1" min="11" max="11"/>
    <col width="12" customWidth="1" min="12" max="12"/>
    <col width="2" customWidth="1" min="13" max="13"/>
    <col width="0.5" customWidth="1" min="15" max="15"/>
    <col width="0.5" customWidth="1" min="16" max="16"/>
  </cols>
  <sheetData>
    <row r="1" ht="40" customHeight="1">
      <c r="A1" s="154" t="inlineStr">
        <is>
          <t>MyClearBudget — BRRRR Strategy Calculator</t>
        </is>
      </c>
      <c r="M1" s="96" t="n"/>
      <c r="N1" s="96" t="n"/>
      <c r="O1" s="96" t="n"/>
      <c r="P1" s="96" t="n"/>
      <c r="Q1" s="96" t="n"/>
      <c r="R1" s="96" t="n"/>
      <c r="S1" s="96" t="n"/>
      <c r="T1" s="96" t="n"/>
      <c r="U1" s="96" t="n"/>
      <c r="V1" s="96" t="n"/>
      <c r="W1" s="96" t="n"/>
      <c r="X1" s="96" t="n"/>
      <c r="Y1" s="96" t="n"/>
      <c r="Z1" s="96" t="n"/>
      <c r="AA1" s="96" t="n"/>
      <c r="AB1" s="96" t="n"/>
      <c r="AC1" s="96" t="n"/>
      <c r="AD1" s="96" t="n"/>
      <c r="AE1" s="96" t="n"/>
      <c r="AF1" s="96" t="n"/>
      <c r="AG1" s="96" t="n"/>
      <c r="AH1" s="96" t="n"/>
      <c r="AI1" s="96" t="n"/>
      <c r="AJ1" s="96" t="n"/>
      <c r="AK1" s="96" t="n"/>
      <c r="AL1" s="96" t="n"/>
      <c r="AM1" s="96" t="n"/>
      <c r="AN1" s="96" t="n"/>
    </row>
    <row r="2" ht="24" customHeight="1">
      <c r="A2" s="155" t="inlineStr">
        <is>
          <t>Buy · Rehab · Rent · Refinance · Repeat</t>
        </is>
      </c>
      <c r="M2" s="96" t="n"/>
      <c r="N2" s="96" t="n"/>
      <c r="O2" s="96" t="n"/>
      <c r="P2" s="96" t="n"/>
      <c r="Q2" s="96" t="n"/>
      <c r="R2" s="96" t="n"/>
      <c r="S2" s="96" t="n"/>
      <c r="T2" s="96" t="n"/>
      <c r="U2" s="96" t="n"/>
      <c r="V2" s="96" t="n"/>
      <c r="W2" s="96" t="n"/>
      <c r="X2" s="96" t="n"/>
      <c r="Y2" s="96" t="n"/>
      <c r="Z2" s="96" t="n"/>
      <c r="AA2" s="96" t="n"/>
      <c r="AB2" s="96" t="n"/>
      <c r="AC2" s="96" t="n"/>
      <c r="AD2" s="96" t="n"/>
      <c r="AE2" s="96" t="n"/>
      <c r="AF2" s="96" t="n"/>
      <c r="AG2" s="96" t="n"/>
      <c r="AH2" s="96" t="n"/>
      <c r="AI2" s="96" t="n"/>
      <c r="AJ2" s="96" t="n"/>
      <c r="AK2" s="96" t="n"/>
      <c r="AL2" s="96" t="n"/>
      <c r="AM2" s="96" t="n"/>
      <c r="AN2" s="96" t="n"/>
    </row>
    <row r="3" ht="12" customHeight="1">
      <c r="A3" s="96" t="n"/>
      <c r="B3" s="97" t="n"/>
      <c r="C3" s="96" t="n"/>
      <c r="D3" s="96" t="n"/>
      <c r="E3" s="96" t="n"/>
      <c r="F3" s="96" t="n"/>
      <c r="G3" s="97" t="n"/>
      <c r="H3" s="97" t="n"/>
      <c r="I3" s="97" t="n"/>
      <c r="J3" s="96" t="n"/>
      <c r="K3" s="96" t="n"/>
      <c r="L3" s="96" t="n"/>
      <c r="M3" s="96" t="n"/>
      <c r="N3" s="96" t="n"/>
      <c r="O3" s="96" t="n"/>
      <c r="P3" s="96" t="n"/>
      <c r="Q3" s="96" t="n"/>
      <c r="R3" s="96" t="n"/>
      <c r="S3" s="96" t="n"/>
      <c r="T3" s="96" t="n"/>
      <c r="U3" s="96" t="n"/>
      <c r="V3" s="96" t="n"/>
      <c r="W3" s="96" t="n"/>
      <c r="X3" s="96" t="n"/>
      <c r="Y3" s="96" t="n"/>
      <c r="Z3" s="96" t="n"/>
      <c r="AA3" s="96" t="n"/>
      <c r="AB3" s="96" t="n"/>
      <c r="AC3" s="96" t="n"/>
      <c r="AD3" s="96" t="n"/>
      <c r="AE3" s="96" t="n"/>
      <c r="AF3" s="96" t="n"/>
      <c r="AG3" s="96" t="n"/>
      <c r="AH3" s="96" t="n"/>
      <c r="AI3" s="96" t="n"/>
      <c r="AJ3" s="96" t="n"/>
      <c r="AK3" s="96" t="n"/>
      <c r="AL3" s="96" t="n"/>
      <c r="AM3" s="96" t="n"/>
      <c r="AN3" s="96" t="n"/>
    </row>
    <row r="4" ht="18" customHeight="1">
      <c r="A4" s="96" t="n"/>
      <c r="B4" s="170" t="inlineStr">
        <is>
          <t>INITIAL CASH INVESTED</t>
        </is>
      </c>
      <c r="C4" s="163" t="n"/>
      <c r="D4" s="164" t="n"/>
      <c r="E4" s="97" t="n"/>
      <c r="F4" s="170" t="inlineStr">
        <is>
          <t>AFTER REPAIR VALUE (ARV)</t>
        </is>
      </c>
      <c r="G4" s="163" t="n"/>
      <c r="H4" s="164" t="n"/>
      <c r="I4" s="97" t="n"/>
      <c r="J4" s="171" t="inlineStr">
        <is>
          <t>REFINANCE LOAN AMOUNT</t>
        </is>
      </c>
      <c r="K4" s="165" t="n"/>
      <c r="L4" s="166" t="n"/>
      <c r="M4" s="96" t="n"/>
      <c r="N4" s="96" t="n"/>
      <c r="O4" s="96" t="n"/>
      <c r="P4" s="96" t="n"/>
      <c r="Q4" s="96" t="n"/>
      <c r="R4" s="96" t="n"/>
      <c r="S4" s="96" t="n"/>
      <c r="T4" s="96" t="n"/>
      <c r="U4" s="96" t="n"/>
      <c r="V4" s="96" t="n"/>
      <c r="W4" s="96" t="n"/>
      <c r="X4" s="96" t="n"/>
      <c r="Y4" s="96" t="n"/>
      <c r="Z4" s="96" t="n"/>
      <c r="AA4" s="96" t="n"/>
      <c r="AB4" s="96" t="n"/>
      <c r="AC4" s="96" t="n"/>
      <c r="AD4" s="96" t="n"/>
      <c r="AE4" s="96" t="n"/>
      <c r="AF4" s="96" t="n"/>
      <c r="AG4" s="96" t="n"/>
      <c r="AH4" s="96" t="n"/>
      <c r="AI4" s="96" t="n"/>
      <c r="AJ4" s="96" t="n"/>
      <c r="AK4" s="96" t="n"/>
      <c r="AL4" s="96" t="n"/>
      <c r="AM4" s="96" t="n"/>
      <c r="AN4" s="96" t="n"/>
    </row>
    <row r="5" ht="36" customHeight="1">
      <c r="A5" s="96" t="n"/>
      <c r="B5" s="172">
        <f>'Refinance Analysis'!C18</f>
        <v/>
      </c>
      <c r="C5" s="163" t="n"/>
      <c r="D5" s="164" t="n"/>
      <c r="E5" s="97" t="n"/>
      <c r="F5" s="172">
        <f>'Refinance Analysis'!C7</f>
        <v/>
      </c>
      <c r="G5" s="163" t="n"/>
      <c r="H5" s="164" t="n"/>
      <c r="I5" s="97" t="n"/>
      <c r="J5" s="173">
        <f>'Refinance Analysis'!C9</f>
        <v/>
      </c>
      <c r="K5" s="165" t="n"/>
      <c r="L5" s="166" t="n"/>
      <c r="M5" s="96" t="n"/>
      <c r="N5" s="96" t="n"/>
      <c r="O5" s="96" t="n"/>
      <c r="P5" s="96" t="n"/>
      <c r="Q5" s="96" t="n"/>
      <c r="R5" s="96" t="n"/>
      <c r="S5" s="96" t="n"/>
      <c r="T5" s="96" t="n"/>
      <c r="U5" s="96" t="n"/>
      <c r="V5" s="96" t="n"/>
      <c r="W5" s="96" t="n"/>
      <c r="X5" s="96" t="n"/>
      <c r="Y5" s="96" t="n"/>
      <c r="Z5" s="96" t="n"/>
      <c r="AA5" s="96" t="n"/>
      <c r="AB5" s="96" t="n"/>
      <c r="AC5" s="96" t="n"/>
      <c r="AD5" s="96" t="n"/>
      <c r="AE5" s="96" t="n"/>
      <c r="AF5" s="96" t="n"/>
      <c r="AG5" s="96" t="n"/>
      <c r="AH5" s="96" t="n"/>
      <c r="AI5" s="96" t="n"/>
      <c r="AJ5" s="96" t="n"/>
      <c r="AK5" s="96" t="n"/>
      <c r="AL5" s="96" t="n"/>
      <c r="AM5" s="96" t="n"/>
      <c r="AN5" s="96" t="n"/>
    </row>
    <row r="6" ht="6" customHeight="1">
      <c r="A6" s="96" t="n"/>
      <c r="B6" s="97" t="n"/>
      <c r="C6" s="97" t="n"/>
      <c r="D6" s="97" t="n"/>
      <c r="E6" s="97" t="n"/>
      <c r="F6" s="97" t="n"/>
      <c r="G6" s="97" t="n"/>
      <c r="H6" s="97" t="n"/>
      <c r="I6" s="97" t="n"/>
      <c r="J6" s="96" t="n"/>
      <c r="K6" s="96" t="n"/>
      <c r="L6" s="96" t="n"/>
      <c r="M6" s="96" t="n"/>
      <c r="N6" s="96" t="n"/>
      <c r="O6" s="96" t="n"/>
      <c r="P6" s="96" t="n"/>
      <c r="Q6" s="96" t="n"/>
      <c r="R6" s="96" t="n"/>
      <c r="S6" s="96" t="n"/>
      <c r="T6" s="96" t="n"/>
      <c r="U6" s="96" t="n"/>
      <c r="V6" s="96" t="n"/>
      <c r="W6" s="96" t="n"/>
      <c r="X6" s="96" t="n"/>
      <c r="Y6" s="96" t="n"/>
      <c r="Z6" s="96" t="n"/>
      <c r="AA6" s="96" t="n"/>
      <c r="AB6" s="96" t="n"/>
      <c r="AC6" s="96" t="n"/>
      <c r="AD6" s="96" t="n"/>
      <c r="AE6" s="96" t="n"/>
      <c r="AF6" s="96" t="n"/>
      <c r="AG6" s="96" t="n"/>
      <c r="AH6" s="96" t="n"/>
      <c r="AI6" s="96" t="n"/>
      <c r="AJ6" s="96" t="n"/>
      <c r="AK6" s="96" t="n"/>
      <c r="AL6" s="96" t="n"/>
      <c r="AM6" s="96" t="n"/>
      <c r="AN6" s="96" t="n"/>
    </row>
    <row r="7" ht="6" customHeight="1">
      <c r="A7" s="96" t="n"/>
      <c r="B7" s="102" t="n"/>
      <c r="C7" s="97" t="n"/>
      <c r="D7" s="102" t="n"/>
      <c r="E7" s="97" t="n"/>
      <c r="F7" s="102" t="n"/>
      <c r="G7" s="97" t="n"/>
      <c r="H7" s="97" t="n"/>
      <c r="I7" s="97" t="n"/>
      <c r="J7" s="96" t="n"/>
      <c r="K7" s="96" t="n"/>
      <c r="L7" s="96" t="n"/>
      <c r="M7" s="96" t="n"/>
      <c r="N7" s="96" t="n"/>
      <c r="O7" s="96" t="n"/>
      <c r="P7" s="96" t="n"/>
      <c r="Q7" s="96" t="n"/>
      <c r="R7" s="96" t="n"/>
      <c r="S7" s="96" t="n"/>
      <c r="T7" s="96" t="n"/>
      <c r="U7" s="96" t="n"/>
      <c r="V7" s="96" t="n"/>
      <c r="W7" s="96" t="n"/>
      <c r="X7" s="96" t="n"/>
      <c r="Y7" s="96" t="n"/>
      <c r="Z7" s="96" t="n"/>
      <c r="AA7" s="96" t="n"/>
      <c r="AB7" s="96" t="n"/>
      <c r="AC7" s="96" t="n"/>
      <c r="AD7" s="96" t="n"/>
      <c r="AE7" s="96" t="n"/>
      <c r="AF7" s="96" t="n"/>
      <c r="AG7" s="96" t="n"/>
      <c r="AH7" s="96" t="n"/>
      <c r="AI7" s="96" t="n"/>
      <c r="AJ7" s="96" t="n"/>
      <c r="AK7" s="96" t="n"/>
      <c r="AL7" s="96" t="n"/>
      <c r="AM7" s="96" t="n"/>
      <c r="AN7" s="96" t="n"/>
    </row>
    <row r="8" ht="18" customHeight="1">
      <c r="A8" s="96" t="n"/>
      <c r="B8" s="170" t="inlineStr">
        <is>
          <t>CASH PULLED OUT</t>
        </is>
      </c>
      <c r="C8" s="163" t="n"/>
      <c r="D8" s="164" t="n"/>
      <c r="E8" s="97" t="n"/>
      <c r="F8" s="170" t="inlineStr">
        <is>
          <t>EQUITY REMAINING</t>
        </is>
      </c>
      <c r="G8" s="163" t="n"/>
      <c r="H8" s="164" t="n"/>
      <c r="I8" s="97" t="n"/>
      <c r="J8" s="171" t="inlineStr">
        <is>
          <t>MONTHLY CASH FLOW</t>
        </is>
      </c>
      <c r="K8" s="165" t="n"/>
      <c r="L8" s="166" t="n"/>
      <c r="M8" s="96" t="n"/>
      <c r="N8" s="96" t="n"/>
      <c r="O8" s="96" t="n"/>
      <c r="P8" s="96" t="n"/>
      <c r="Q8" s="96" t="n"/>
      <c r="R8" s="96" t="n"/>
      <c r="S8" s="96" t="n"/>
      <c r="T8" s="96" t="n"/>
      <c r="U8" s="96" t="n"/>
      <c r="V8" s="96" t="n"/>
      <c r="W8" s="96" t="n"/>
      <c r="X8" s="96" t="n"/>
      <c r="Y8" s="96" t="n"/>
      <c r="Z8" s="96" t="n"/>
      <c r="AA8" s="96" t="n"/>
      <c r="AB8" s="96" t="n"/>
      <c r="AC8" s="96" t="n"/>
      <c r="AD8" s="96" t="n"/>
      <c r="AE8" s="96" t="n"/>
      <c r="AF8" s="96" t="n"/>
      <c r="AG8" s="96" t="n"/>
      <c r="AH8" s="96" t="n"/>
      <c r="AI8" s="96" t="n"/>
      <c r="AJ8" s="96" t="n"/>
      <c r="AK8" s="96" t="n"/>
      <c r="AL8" s="96" t="n"/>
      <c r="AM8" s="96" t="n"/>
      <c r="AN8" s="96" t="n"/>
    </row>
    <row r="9" ht="36" customHeight="1">
      <c r="A9" s="96" t="n"/>
      <c r="B9" s="174">
        <f>'Refinance Analysis'!C19</f>
        <v/>
      </c>
      <c r="C9" s="163" t="n"/>
      <c r="D9" s="164" t="n"/>
      <c r="E9" s="97" t="n"/>
      <c r="F9" s="172">
        <f>'Refinance Analysis'!C21</f>
        <v/>
      </c>
      <c r="G9" s="163" t="n"/>
      <c r="H9" s="164" t="n"/>
      <c r="I9" s="97" t="n"/>
      <c r="J9" s="173">
        <f>'Cash Flow Analysis'!C12</f>
        <v/>
      </c>
      <c r="K9" s="165" t="n"/>
      <c r="L9" s="166" t="n"/>
      <c r="M9" s="96" t="n"/>
      <c r="N9" s="96" t="n"/>
      <c r="O9" s="96" t="n"/>
      <c r="P9" s="96" t="n"/>
      <c r="Q9" s="96" t="n"/>
      <c r="R9" s="96" t="n"/>
      <c r="S9" s="96" t="n"/>
      <c r="T9" s="96" t="n"/>
      <c r="U9" s="96" t="n"/>
      <c r="V9" s="96" t="n"/>
      <c r="W9" s="96" t="n"/>
      <c r="X9" s="96" t="n"/>
      <c r="Y9" s="96" t="n"/>
      <c r="Z9" s="96" t="n"/>
      <c r="AA9" s="96" t="n"/>
      <c r="AB9" s="96" t="n"/>
      <c r="AC9" s="96" t="n"/>
      <c r="AD9" s="96" t="n"/>
      <c r="AE9" s="96" t="n"/>
      <c r="AF9" s="96" t="n"/>
      <c r="AG9" s="96" t="n"/>
      <c r="AH9" s="96" t="n"/>
      <c r="AI9" s="96" t="n"/>
      <c r="AJ9" s="96" t="n"/>
      <c r="AK9" s="96" t="n"/>
      <c r="AL9" s="96" t="n"/>
      <c r="AM9" s="96" t="n"/>
      <c r="AN9" s="96" t="n"/>
    </row>
    <row r="10" ht="6" customHeight="1">
      <c r="A10" s="96" t="n"/>
      <c r="B10" s="102" t="n"/>
      <c r="C10" s="97" t="n"/>
      <c r="D10" s="102" t="n"/>
      <c r="E10" s="97" t="n"/>
      <c r="F10" s="102" t="n"/>
      <c r="G10" s="97" t="n"/>
      <c r="H10" s="97" t="n"/>
      <c r="I10" s="97" t="n"/>
      <c r="J10" s="96" t="n"/>
      <c r="K10" s="96" t="n"/>
      <c r="L10" s="96" t="n"/>
      <c r="M10" s="96" t="n"/>
      <c r="N10" s="96" t="n"/>
      <c r="O10" s="96" t="n"/>
      <c r="P10" s="96" t="n"/>
      <c r="Q10" s="96" t="n"/>
      <c r="R10" s="96" t="n"/>
      <c r="S10" s="96" t="n"/>
      <c r="T10" s="96" t="n"/>
      <c r="U10" s="96" t="n"/>
      <c r="V10" s="96" t="n"/>
      <c r="W10" s="96" t="n"/>
      <c r="X10" s="96" t="n"/>
      <c r="Y10" s="96" t="n"/>
      <c r="Z10" s="96" t="n"/>
      <c r="AA10" s="96" t="n"/>
      <c r="AB10" s="96" t="n"/>
      <c r="AC10" s="96" t="n"/>
      <c r="AD10" s="96" t="n"/>
      <c r="AE10" s="96" t="n"/>
      <c r="AF10" s="96" t="n"/>
      <c r="AG10" s="96" t="n"/>
      <c r="AH10" s="96" t="n"/>
      <c r="AI10" s="96" t="n"/>
      <c r="AJ10" s="96" t="n"/>
      <c r="AK10" s="96" t="n"/>
      <c r="AL10" s="96" t="n"/>
      <c r="AM10" s="96" t="n"/>
      <c r="AN10" s="96" t="n"/>
    </row>
    <row r="11" ht="6" customHeight="1">
      <c r="A11" s="96" t="n"/>
      <c r="B11" s="97" t="n"/>
      <c r="C11" s="97" t="n"/>
      <c r="D11" s="97" t="n"/>
      <c r="E11" s="97" t="n"/>
      <c r="F11" s="97" t="n"/>
      <c r="G11" s="97" t="n"/>
      <c r="H11" s="97" t="n"/>
      <c r="I11" s="97" t="n"/>
      <c r="J11" s="96" t="n"/>
      <c r="K11" s="96" t="n"/>
      <c r="L11" s="96" t="n"/>
      <c r="M11" s="96" t="n"/>
      <c r="N11" s="96" t="n"/>
      <c r="O11" s="96" t="n"/>
      <c r="P11" s="96" t="n"/>
      <c r="Q11" s="96" t="n"/>
      <c r="R11" s="96" t="n"/>
      <c r="S11" s="96" t="n"/>
      <c r="T11" s="96" t="n"/>
      <c r="U11" s="96" t="n"/>
      <c r="V11" s="96" t="n"/>
      <c r="W11" s="96" t="n"/>
      <c r="X11" s="96" t="n"/>
      <c r="Y11" s="96" t="n"/>
      <c r="Z11" s="96" t="n"/>
      <c r="AA11" s="96" t="n"/>
      <c r="AB11" s="96" t="n"/>
      <c r="AC11" s="96" t="n"/>
      <c r="AD11" s="96" t="n"/>
      <c r="AE11" s="96" t="n"/>
      <c r="AF11" s="96" t="n"/>
      <c r="AG11" s="96" t="n"/>
      <c r="AH11" s="96" t="n"/>
      <c r="AI11" s="96" t="n"/>
      <c r="AJ11" s="96" t="n"/>
      <c r="AK11" s="96" t="n"/>
      <c r="AL11" s="96" t="n"/>
      <c r="AM11" s="96" t="n"/>
      <c r="AN11" s="96" t="n"/>
    </row>
    <row r="12" ht="18" customHeight="1">
      <c r="A12" s="96" t="n"/>
      <c r="B12" s="170" t="inlineStr">
        <is>
          <t>ANNUAL CASH FLOW</t>
        </is>
      </c>
      <c r="C12" s="163" t="n"/>
      <c r="D12" s="164" t="n"/>
      <c r="E12" s="97" t="n"/>
      <c r="F12" s="170" t="inlineStr">
        <is>
          <t>CASH-ON-CASH RETURN</t>
        </is>
      </c>
      <c r="G12" s="163" t="n"/>
      <c r="H12" s="164" t="n"/>
      <c r="I12" s="97" t="n"/>
      <c r="J12" s="171" t="inlineStr">
        <is>
          <t>INFINITE RETURN?</t>
        </is>
      </c>
      <c r="K12" s="165" t="n"/>
      <c r="L12" s="166" t="n"/>
      <c r="M12" s="96" t="n"/>
      <c r="N12" s="96" t="n"/>
      <c r="O12" s="96" t="n"/>
      <c r="P12" s="96" t="n"/>
      <c r="Q12" s="96" t="n"/>
      <c r="R12" s="96" t="n"/>
      <c r="S12" s="96" t="n"/>
      <c r="T12" s="96" t="n"/>
      <c r="U12" s="96" t="n"/>
      <c r="V12" s="96" t="n"/>
      <c r="W12" s="96" t="n"/>
      <c r="X12" s="96" t="n"/>
      <c r="Y12" s="96" t="n"/>
      <c r="Z12" s="96" t="n"/>
      <c r="AA12" s="96" t="n"/>
      <c r="AB12" s="96" t="n"/>
      <c r="AC12" s="96" t="n"/>
      <c r="AD12" s="96" t="n"/>
      <c r="AE12" s="96" t="n"/>
      <c r="AF12" s="96" t="n"/>
      <c r="AG12" s="96" t="n"/>
      <c r="AH12" s="96" t="n"/>
      <c r="AI12" s="96" t="n"/>
      <c r="AJ12" s="96" t="n"/>
      <c r="AK12" s="96" t="n"/>
      <c r="AL12" s="96" t="n"/>
      <c r="AM12" s="96" t="n"/>
      <c r="AN12" s="96" t="n"/>
    </row>
    <row r="13" ht="36" customHeight="1">
      <c r="A13" s="96" t="n"/>
      <c r="B13" s="173">
        <f>'Cash Flow Analysis'!C13</f>
        <v/>
      </c>
      <c r="C13" s="165" t="n"/>
      <c r="D13" s="166" t="n"/>
      <c r="E13" s="97" t="n"/>
      <c r="F13" s="175">
        <f>'Cash Flow Analysis'!C16</f>
        <v/>
      </c>
      <c r="G13" s="165" t="n"/>
      <c r="H13" s="166" t="n"/>
      <c r="I13" s="97" t="n"/>
      <c r="J13" s="176">
        <f>IF('Refinance Analysis'!C20&lt;=0,"YES ✅","No")</f>
        <v/>
      </c>
      <c r="K13" s="165" t="n"/>
      <c r="L13" s="166" t="n"/>
      <c r="M13" s="96" t="n"/>
      <c r="N13" s="96" t="n"/>
      <c r="O13" s="96" t="n"/>
      <c r="P13" s="96" t="n"/>
      <c r="Q13" s="96" t="n"/>
      <c r="R13" s="96" t="n"/>
      <c r="S13" s="96" t="n"/>
      <c r="T13" s="96" t="n"/>
      <c r="U13" s="96" t="n"/>
      <c r="V13" s="96" t="n"/>
      <c r="W13" s="96" t="n"/>
      <c r="X13" s="96" t="n"/>
      <c r="Y13" s="96" t="n"/>
      <c r="Z13" s="96" t="n"/>
      <c r="AA13" s="96" t="n"/>
      <c r="AB13" s="96" t="n"/>
      <c r="AC13" s="96" t="n"/>
      <c r="AD13" s="96" t="n"/>
      <c r="AE13" s="96" t="n"/>
      <c r="AF13" s="96" t="n"/>
      <c r="AG13" s="96" t="n"/>
      <c r="AH13" s="96" t="n"/>
      <c r="AI13" s="96" t="n"/>
      <c r="AJ13" s="96" t="n"/>
      <c r="AK13" s="96" t="n"/>
      <c r="AL13" s="96" t="n"/>
      <c r="AM13" s="96" t="n"/>
      <c r="AN13" s="96" t="n"/>
    </row>
    <row r="14" ht="6" customHeight="1">
      <c r="A14" s="96" t="n"/>
      <c r="B14" s="97" t="n"/>
      <c r="C14" s="97" t="n"/>
      <c r="D14" s="97" t="n"/>
      <c r="E14" s="97" t="n"/>
      <c r="F14" s="97" t="n"/>
      <c r="G14" s="97" t="n"/>
      <c r="H14" s="97" t="n"/>
      <c r="I14" s="97" t="n"/>
      <c r="J14" s="96" t="n"/>
      <c r="K14" s="96" t="n"/>
      <c r="L14" s="96" t="n"/>
      <c r="M14" s="96" t="n"/>
      <c r="N14" s="96" t="n"/>
      <c r="O14" s="96" t="n"/>
      <c r="P14" s="96" t="n"/>
      <c r="Q14" s="96" t="n"/>
      <c r="R14" s="96" t="n"/>
      <c r="S14" s="96" t="n"/>
      <c r="T14" s="96" t="n"/>
      <c r="U14" s="96" t="n"/>
      <c r="V14" s="96" t="n"/>
      <c r="W14" s="96" t="n"/>
      <c r="X14" s="96" t="n"/>
      <c r="Y14" s="96" t="n"/>
      <c r="Z14" s="96" t="n"/>
      <c r="AA14" s="96" t="n"/>
      <c r="AB14" s="96" t="n"/>
      <c r="AC14" s="96" t="n"/>
      <c r="AD14" s="96" t="n"/>
      <c r="AE14" s="96" t="n"/>
      <c r="AF14" s="96" t="n"/>
      <c r="AG14" s="96" t="n"/>
      <c r="AH14" s="96" t="n"/>
      <c r="AI14" s="96" t="n"/>
      <c r="AJ14" s="96" t="n"/>
      <c r="AK14" s="96" t="n"/>
      <c r="AL14" s="96" t="n"/>
      <c r="AM14" s="96" t="n"/>
      <c r="AN14" s="96" t="n"/>
    </row>
    <row r="15" ht="12" customHeight="1">
      <c r="A15" s="96" t="n"/>
      <c r="B15" s="97" t="n"/>
      <c r="C15" s="97" t="n"/>
      <c r="D15" s="97" t="n"/>
      <c r="E15" s="97" t="n"/>
      <c r="F15" s="97" t="n"/>
      <c r="G15" s="97" t="n"/>
      <c r="H15" s="97" t="n"/>
      <c r="I15" s="97" t="n"/>
      <c r="J15" s="96" t="n"/>
      <c r="K15" s="96" t="n"/>
      <c r="L15" s="96" t="n"/>
      <c r="M15" s="96" t="n"/>
      <c r="N15" s="96" t="n"/>
      <c r="O15" s="96" t="n"/>
      <c r="P15" s="96" t="n"/>
      <c r="Q15" s="96" t="n"/>
      <c r="R15" s="96" t="n"/>
      <c r="S15" s="96" t="n"/>
      <c r="T15" s="96" t="n"/>
      <c r="U15" s="96" t="n"/>
      <c r="V15" s="96" t="n"/>
      <c r="W15" s="96" t="n"/>
      <c r="X15" s="96" t="n"/>
      <c r="Y15" s="96" t="n"/>
      <c r="Z15" s="96" t="n"/>
      <c r="AA15" s="96" t="n"/>
      <c r="AB15" s="96" t="n"/>
      <c r="AC15" s="96" t="n"/>
      <c r="AD15" s="96" t="n"/>
      <c r="AE15" s="96" t="n"/>
      <c r="AF15" s="96" t="n"/>
      <c r="AG15" s="96" t="n"/>
      <c r="AH15" s="96" t="n"/>
      <c r="AI15" s="96" t="n"/>
      <c r="AJ15" s="96" t="n"/>
      <c r="AK15" s="96" t="n"/>
      <c r="AL15" s="96" t="n"/>
      <c r="AM15" s="96" t="n"/>
      <c r="AN15" s="96" t="n"/>
    </row>
    <row r="16" ht="28" customHeight="1">
      <c r="A16" s="177" t="inlineStr">
        <is>
          <t>📌  Enter inputs on the Purchase &amp; Rehab, Rental Income, and Refinance tabs — this dashboard updates automatically.</t>
        </is>
      </c>
      <c r="M16" s="96" t="n"/>
      <c r="N16" s="96" t="n"/>
      <c r="O16" s="96" t="n"/>
      <c r="P16" s="96" t="n"/>
      <c r="Q16" s="96" t="n"/>
      <c r="R16" s="96" t="n"/>
      <c r="S16" s="96" t="n"/>
      <c r="T16" s="96" t="n"/>
      <c r="U16" s="96" t="n"/>
      <c r="V16" s="96" t="n"/>
      <c r="W16" s="96" t="n"/>
      <c r="X16" s="96" t="n"/>
      <c r="Y16" s="96" t="n"/>
      <c r="Z16" s="96" t="n"/>
      <c r="AA16" s="96" t="n"/>
      <c r="AB16" s="96" t="n"/>
      <c r="AC16" s="96" t="n"/>
      <c r="AD16" s="96" t="n"/>
      <c r="AE16" s="96" t="n"/>
      <c r="AF16" s="96" t="n"/>
      <c r="AG16" s="96" t="n"/>
      <c r="AH16" s="96" t="n"/>
      <c r="AI16" s="96" t="n"/>
      <c r="AJ16" s="96" t="n"/>
      <c r="AK16" s="96" t="n"/>
      <c r="AL16" s="96" t="n"/>
      <c r="AM16" s="96" t="n"/>
      <c r="AN16" s="96" t="n"/>
    </row>
    <row r="17" ht="8" customHeight="1">
      <c r="A17" s="96" t="n"/>
      <c r="B17" s="97" t="n"/>
      <c r="C17" s="97" t="n"/>
      <c r="D17" s="97" t="n"/>
      <c r="E17" s="97" t="n"/>
      <c r="F17" s="97" t="n"/>
      <c r="G17" s="97" t="n"/>
      <c r="H17" s="97" t="n"/>
      <c r="I17" s="96" t="n"/>
      <c r="J17" s="96" t="n"/>
      <c r="K17" s="96" t="n"/>
      <c r="L17" s="96" t="n"/>
      <c r="M17" s="96" t="n"/>
      <c r="N17" s="96" t="n"/>
      <c r="O17" s="96" t="n"/>
      <c r="P17" s="96" t="n"/>
      <c r="Q17" s="96" t="n"/>
      <c r="R17" s="96" t="n"/>
      <c r="S17" s="96" t="n"/>
      <c r="T17" s="96" t="n"/>
      <c r="U17" s="96" t="n"/>
      <c r="V17" s="96" t="n"/>
      <c r="W17" s="96" t="n"/>
      <c r="X17" s="96" t="n"/>
      <c r="Y17" s="96" t="n"/>
      <c r="Z17" s="96" t="n"/>
      <c r="AA17" s="96" t="n"/>
      <c r="AB17" s="96" t="n"/>
      <c r="AC17" s="96" t="n"/>
      <c r="AD17" s="96" t="n"/>
      <c r="AE17" s="96" t="n"/>
      <c r="AF17" s="96" t="n"/>
      <c r="AG17" s="96" t="n"/>
      <c r="AH17" s="96" t="n"/>
      <c r="AI17" s="96" t="n"/>
      <c r="AJ17" s="96" t="n"/>
      <c r="AK17" s="96" t="n"/>
      <c r="AL17" s="96" t="n"/>
      <c r="AM17" s="96" t="n"/>
      <c r="AN17" s="96" t="n"/>
    </row>
    <row r="18" ht="22" customHeight="1">
      <c r="A18" s="178" t="inlineStr">
        <is>
          <t>MyClearBudget.com  ·  Professional Spreadsheet Tools for Real Estate Investors</t>
        </is>
      </c>
      <c r="M18" s="96" t="n"/>
      <c r="N18" s="96" t="n"/>
      <c r="O18" s="96" t="n"/>
      <c r="P18" s="96" t="n"/>
      <c r="Q18" s="96" t="n"/>
      <c r="R18" s="96" t="n"/>
      <c r="S18" s="96" t="n"/>
      <c r="T18" s="96" t="n"/>
      <c r="U18" s="96" t="n"/>
      <c r="V18" s="96" t="n"/>
      <c r="W18" s="96" t="n"/>
      <c r="X18" s="96" t="n"/>
      <c r="Y18" s="96" t="n"/>
      <c r="Z18" s="96" t="n"/>
      <c r="AA18" s="96" t="n"/>
      <c r="AB18" s="96" t="n"/>
      <c r="AC18" s="96" t="n"/>
      <c r="AD18" s="96" t="n"/>
      <c r="AE18" s="96" t="n"/>
      <c r="AF18" s="96" t="n"/>
      <c r="AG18" s="96" t="n"/>
      <c r="AH18" s="96" t="n"/>
      <c r="AI18" s="96" t="n"/>
      <c r="AJ18" s="96" t="n"/>
      <c r="AK18" s="96" t="n"/>
      <c r="AL18" s="96" t="n"/>
      <c r="AM18" s="96" t="n"/>
      <c r="AN18" s="96" t="n"/>
    </row>
    <row r="19" hidden="1" ht="2" customHeight="1">
      <c r="A19" s="96" t="n"/>
      <c r="B19" s="96" t="n"/>
      <c r="C19" s="96" t="n"/>
      <c r="D19" s="96" t="n"/>
      <c r="E19" s="96" t="n"/>
      <c r="F19" s="96" t="n"/>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c r="AA19" s="96" t="n"/>
      <c r="AB19" s="96" t="n"/>
      <c r="AC19" s="96" t="n"/>
      <c r="AD19" s="96" t="n"/>
      <c r="AE19" s="96" t="n"/>
      <c r="AF19" s="96" t="n"/>
      <c r="AG19" s="96" t="n"/>
      <c r="AH19" s="96" t="n"/>
      <c r="AI19" s="96" t="n"/>
      <c r="AJ19" s="96" t="n"/>
      <c r="AK19" s="96" t="n"/>
      <c r="AL19" s="96" t="n"/>
      <c r="AM19" s="96" t="n"/>
      <c r="AN19" s="96" t="n"/>
    </row>
    <row r="20" hidden="1" ht="2" customHeight="1">
      <c r="A20" s="96" t="n"/>
      <c r="B20" s="96" t="n"/>
      <c r="C20" s="96" t="n"/>
      <c r="D20" s="96" t="n"/>
      <c r="E20" s="96" t="n"/>
      <c r="F20" s="96" t="n"/>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c r="AA20" s="96" t="n"/>
      <c r="AB20" s="96" t="n"/>
      <c r="AC20" s="96" t="n"/>
      <c r="AD20" s="96" t="n"/>
      <c r="AE20" s="96" t="n"/>
      <c r="AF20" s="96" t="n"/>
      <c r="AG20" s="96" t="n"/>
      <c r="AH20" s="96" t="n"/>
      <c r="AI20" s="96" t="n"/>
      <c r="AJ20" s="96" t="n"/>
      <c r="AK20" s="96" t="n"/>
      <c r="AL20" s="96" t="n"/>
      <c r="AM20" s="96" t="n"/>
      <c r="AN20" s="96" t="n"/>
    </row>
    <row r="21" hidden="1" ht="3" customHeight="1">
      <c r="A21" s="96" t="n"/>
      <c r="B21" s="96" t="n"/>
      <c r="C21" s="96" t="n"/>
      <c r="D21" s="96" t="n"/>
      <c r="E21" s="96" t="n"/>
      <c r="F21" s="96" t="n"/>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c r="AA21" s="96" t="n"/>
      <c r="AB21" s="96" t="n"/>
      <c r="AC21" s="96" t="n"/>
      <c r="AD21" s="96" t="n"/>
      <c r="AE21" s="96" t="n"/>
      <c r="AF21" s="96" t="n"/>
      <c r="AG21" s="96" t="n"/>
      <c r="AH21" s="96" t="n"/>
      <c r="AI21" s="96" t="n"/>
      <c r="AJ21" s="96" t="n"/>
      <c r="AK21" s="96" t="n"/>
      <c r="AL21" s="96" t="n"/>
      <c r="AM21" s="96" t="n"/>
      <c r="AN21" s="96" t="n"/>
    </row>
    <row r="22" hidden="1">
      <c r="A22" s="96" t="n"/>
      <c r="B22" s="96" t="n"/>
      <c r="C22" s="96" t="n"/>
      <c r="D22" s="96" t="n"/>
      <c r="E22" s="96" t="n"/>
      <c r="F22" s="96" t="n"/>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c r="AA22" s="96" t="n"/>
      <c r="AB22" s="96" t="n"/>
      <c r="AC22" s="96" t="n"/>
      <c r="AD22" s="96" t="n"/>
      <c r="AE22" s="96" t="n"/>
      <c r="AF22" s="96" t="n"/>
      <c r="AG22" s="96" t="n"/>
      <c r="AH22" s="96" t="n"/>
      <c r="AI22" s="96" t="n"/>
      <c r="AJ22" s="96" t="n"/>
      <c r="AK22" s="96" t="n"/>
      <c r="AL22" s="96" t="n"/>
      <c r="AM22" s="96" t="n"/>
      <c r="AN22" s="96" t="n"/>
    </row>
    <row r="23" hidden="1">
      <c r="A23" s="96" t="n"/>
      <c r="B23" s="96" t="n"/>
      <c r="C23" s="96" t="n"/>
      <c r="D23" s="96" t="n"/>
      <c r="E23" s="96" t="n"/>
      <c r="F23" s="96"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c r="AA23" s="96" t="n"/>
      <c r="AB23" s="96" t="n"/>
      <c r="AC23" s="96" t="n"/>
      <c r="AD23" s="96" t="n"/>
      <c r="AE23" s="96" t="n"/>
      <c r="AF23" s="96" t="n"/>
      <c r="AG23" s="96" t="n"/>
      <c r="AH23" s="96" t="n"/>
      <c r="AI23" s="96" t="n"/>
      <c r="AJ23" s="96" t="n"/>
      <c r="AK23" s="96" t="n"/>
      <c r="AL23" s="96" t="n"/>
      <c r="AM23" s="96" t="n"/>
      <c r="AN23" s="96" t="n"/>
    </row>
    <row r="24" hidden="1">
      <c r="A24" s="96" t="n"/>
      <c r="B24" s="96" t="n"/>
      <c r="C24" s="96" t="n"/>
      <c r="D24" s="96" t="n"/>
      <c r="E24" s="96" t="n"/>
      <c r="F24" s="96" t="n"/>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c r="AA24" s="96" t="n"/>
      <c r="AB24" s="96" t="n"/>
      <c r="AC24" s="96" t="n"/>
      <c r="AD24" s="96" t="n"/>
      <c r="AE24" s="96" t="n"/>
      <c r="AF24" s="96" t="n"/>
      <c r="AG24" s="96" t="n"/>
      <c r="AH24" s="96" t="n"/>
      <c r="AI24" s="96" t="n"/>
      <c r="AJ24" s="96" t="n"/>
      <c r="AK24" s="96" t="n"/>
      <c r="AL24" s="96" t="n"/>
      <c r="AM24" s="96" t="n"/>
      <c r="AN24" s="96" t="n"/>
    </row>
    <row r="25" hidden="1">
      <c r="A25" s="96" t="n"/>
      <c r="B25" s="96" t="n"/>
      <c r="C25" s="96" t="n"/>
      <c r="D25" s="96" t="n"/>
      <c r="E25" s="96" t="n"/>
      <c r="F25" s="96"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c r="AA25" s="96" t="n"/>
      <c r="AB25" s="96" t="n"/>
      <c r="AC25" s="96" t="n"/>
      <c r="AD25" s="96" t="n"/>
      <c r="AE25" s="96" t="n"/>
      <c r="AF25" s="96" t="n"/>
      <c r="AG25" s="96" t="n"/>
      <c r="AH25" s="96" t="n"/>
      <c r="AI25" s="96" t="n"/>
      <c r="AJ25" s="96" t="n"/>
      <c r="AK25" s="96" t="n"/>
      <c r="AL25" s="96" t="n"/>
      <c r="AM25" s="96" t="n"/>
      <c r="AN25" s="96" t="n"/>
    </row>
    <row r="26" hidden="1">
      <c r="A26" s="96"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c r="AA26" s="96" t="n"/>
      <c r="AB26" s="96" t="n"/>
      <c r="AC26" s="96" t="n"/>
      <c r="AD26" s="96" t="n"/>
      <c r="AE26" s="96" t="n"/>
      <c r="AF26" s="96" t="n"/>
      <c r="AG26" s="96" t="n"/>
      <c r="AH26" s="96" t="n"/>
      <c r="AI26" s="96" t="n"/>
      <c r="AJ26" s="96" t="n"/>
      <c r="AK26" s="96" t="n"/>
      <c r="AL26" s="96" t="n"/>
      <c r="AM26" s="96" t="n"/>
      <c r="AN26" s="96" t="n"/>
    </row>
    <row r="27" hidden="1">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c r="AA27" s="96" t="n"/>
      <c r="AB27" s="96" t="n"/>
      <c r="AC27" s="96" t="n"/>
      <c r="AD27" s="96" t="n"/>
      <c r="AE27" s="96" t="n"/>
      <c r="AF27" s="96" t="n"/>
      <c r="AG27" s="96" t="n"/>
      <c r="AH27" s="96" t="n"/>
      <c r="AI27" s="96" t="n"/>
      <c r="AJ27" s="96" t="n"/>
      <c r="AK27" s="96" t="n"/>
      <c r="AL27" s="96" t="n"/>
      <c r="AM27" s="96" t="n"/>
      <c r="AN27" s="96" t="n"/>
    </row>
    <row r="28" hidden="1">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c r="AA28" s="96" t="n"/>
      <c r="AB28" s="96" t="n"/>
      <c r="AC28" s="96" t="n"/>
      <c r="AD28" s="96" t="n"/>
      <c r="AE28" s="96" t="n"/>
      <c r="AF28" s="96" t="n"/>
      <c r="AG28" s="96" t="n"/>
      <c r="AH28" s="96" t="n"/>
      <c r="AI28" s="96" t="n"/>
      <c r="AJ28" s="96" t="n"/>
      <c r="AK28" s="96" t="n"/>
      <c r="AL28" s="96" t="n"/>
      <c r="AM28" s="96" t="n"/>
      <c r="AN28" s="96" t="n"/>
    </row>
    <row r="29" hidden="1">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c r="AA29" s="96" t="n"/>
      <c r="AB29" s="96" t="n"/>
      <c r="AC29" s="96" t="n"/>
      <c r="AD29" s="96" t="n"/>
      <c r="AE29" s="96" t="n"/>
      <c r="AF29" s="96" t="n"/>
      <c r="AG29" s="96" t="n"/>
      <c r="AH29" s="96" t="n"/>
      <c r="AI29" s="96" t="n"/>
      <c r="AJ29" s="96" t="n"/>
      <c r="AK29" s="96" t="n"/>
      <c r="AL29" s="96" t="n"/>
      <c r="AM29" s="96" t="n"/>
      <c r="AN29" s="96" t="n"/>
    </row>
    <row r="30" hidden="1">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c r="AA30" s="96" t="n"/>
      <c r="AB30" s="96" t="n"/>
      <c r="AC30" s="96" t="n"/>
      <c r="AD30" s="96" t="n"/>
      <c r="AE30" s="96" t="n"/>
      <c r="AF30" s="96" t="n"/>
      <c r="AG30" s="96" t="n"/>
      <c r="AH30" s="96" t="n"/>
      <c r="AI30" s="96" t="n"/>
      <c r="AJ30" s="96" t="n"/>
      <c r="AK30" s="96" t="n"/>
      <c r="AL30" s="96" t="n"/>
      <c r="AM30" s="96" t="n"/>
      <c r="AN30" s="96" t="n"/>
    </row>
    <row r="31" hidden="1">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c r="AA31" s="96" t="n"/>
      <c r="AB31" s="96" t="n"/>
      <c r="AC31" s="96" t="n"/>
      <c r="AD31" s="96" t="n"/>
      <c r="AE31" s="96" t="n"/>
      <c r="AF31" s="96" t="n"/>
      <c r="AG31" s="96" t="n"/>
      <c r="AH31" s="96" t="n"/>
      <c r="AI31" s="96" t="n"/>
      <c r="AJ31" s="96" t="n"/>
      <c r="AK31" s="96" t="n"/>
      <c r="AL31" s="96" t="n"/>
      <c r="AM31" s="96" t="n"/>
      <c r="AN31" s="96" t="n"/>
    </row>
    <row r="32" hidden="1">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c r="AA32" s="96" t="n"/>
      <c r="AB32" s="96" t="n"/>
      <c r="AC32" s="96" t="n"/>
      <c r="AD32" s="96" t="n"/>
      <c r="AE32" s="96" t="n"/>
      <c r="AF32" s="96" t="n"/>
      <c r="AG32" s="96" t="n"/>
      <c r="AH32" s="96" t="n"/>
      <c r="AI32" s="96" t="n"/>
      <c r="AJ32" s="96" t="n"/>
      <c r="AK32" s="96" t="n"/>
      <c r="AL32" s="96" t="n"/>
      <c r="AM32" s="96" t="n"/>
      <c r="AN32" s="96" t="n"/>
    </row>
    <row r="33" hidden="1">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c r="AA33" s="96" t="n"/>
      <c r="AB33" s="96" t="n"/>
      <c r="AC33" s="96" t="n"/>
      <c r="AD33" s="96" t="n"/>
      <c r="AE33" s="96" t="n"/>
      <c r="AF33" s="96" t="n"/>
      <c r="AG33" s="96" t="n"/>
      <c r="AH33" s="96" t="n"/>
      <c r="AI33" s="96" t="n"/>
      <c r="AJ33" s="96" t="n"/>
      <c r="AK33" s="96" t="n"/>
      <c r="AL33" s="96" t="n"/>
      <c r="AM33" s="96" t="n"/>
      <c r="AN33" s="96" t="n"/>
    </row>
    <row r="34" hidden="1">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c r="AA34" s="96" t="n"/>
      <c r="AB34" s="96" t="n"/>
      <c r="AC34" s="96" t="n"/>
      <c r="AD34" s="96" t="n"/>
      <c r="AE34" s="96" t="n"/>
      <c r="AF34" s="96" t="n"/>
      <c r="AG34" s="96" t="n"/>
      <c r="AH34" s="96" t="n"/>
      <c r="AI34" s="96" t="n"/>
      <c r="AJ34" s="96" t="n"/>
      <c r="AK34" s="96" t="n"/>
      <c r="AL34" s="96" t="n"/>
      <c r="AM34" s="96" t="n"/>
      <c r="AN34" s="96" t="n"/>
    </row>
    <row r="35" hidden="1">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c r="AA35" s="96" t="n"/>
      <c r="AB35" s="96" t="n"/>
      <c r="AC35" s="96" t="n"/>
      <c r="AD35" s="96" t="n"/>
      <c r="AE35" s="96" t="n"/>
      <c r="AF35" s="96" t="n"/>
      <c r="AG35" s="96" t="n"/>
      <c r="AH35" s="96" t="n"/>
      <c r="AI35" s="96" t="n"/>
      <c r="AJ35" s="96" t="n"/>
      <c r="AK35" s="96" t="n"/>
      <c r="AL35" s="96" t="n"/>
      <c r="AM35" s="96" t="n"/>
      <c r="AN35" s="96" t="n"/>
    </row>
    <row r="36" hidden="1">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c r="AA36" s="96" t="n"/>
      <c r="AB36" s="96" t="n"/>
      <c r="AC36" s="96" t="n"/>
      <c r="AD36" s="96" t="n"/>
      <c r="AE36" s="96" t="n"/>
      <c r="AF36" s="96" t="n"/>
      <c r="AG36" s="96" t="n"/>
      <c r="AH36" s="96" t="n"/>
      <c r="AI36" s="96" t="n"/>
      <c r="AJ36" s="96" t="n"/>
      <c r="AK36" s="96" t="n"/>
      <c r="AL36" s="96" t="n"/>
      <c r="AM36" s="96" t="n"/>
      <c r="AN36" s="96" t="n"/>
    </row>
    <row r="37" hidden="1">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c r="AA37" s="96" t="n"/>
      <c r="AB37" s="96" t="n"/>
      <c r="AC37" s="96" t="n"/>
      <c r="AD37" s="96" t="n"/>
      <c r="AE37" s="96" t="n"/>
      <c r="AF37" s="96" t="n"/>
      <c r="AG37" s="96" t="n"/>
      <c r="AH37" s="96" t="n"/>
      <c r="AI37" s="96" t="n"/>
      <c r="AJ37" s="96" t="n"/>
      <c r="AK37" s="96" t="n"/>
      <c r="AL37" s="96" t="n"/>
      <c r="AM37" s="96" t="n"/>
      <c r="AN37" s="96" t="n"/>
    </row>
    <row r="38" hidden="1">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c r="AA38" s="96" t="n"/>
      <c r="AB38" s="96" t="n"/>
      <c r="AC38" s="96" t="n"/>
      <c r="AD38" s="96" t="n"/>
      <c r="AE38" s="96" t="n"/>
      <c r="AF38" s="96" t="n"/>
      <c r="AG38" s="96" t="n"/>
      <c r="AH38" s="96" t="n"/>
      <c r="AI38" s="96" t="n"/>
      <c r="AJ38" s="96" t="n"/>
      <c r="AK38" s="96" t="n"/>
      <c r="AL38" s="96" t="n"/>
      <c r="AM38" s="96" t="n"/>
      <c r="AN38" s="96" t="n"/>
    </row>
    <row r="39" hidden="1">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c r="AA39" s="96" t="n"/>
      <c r="AB39" s="96" t="n"/>
      <c r="AC39" s="96" t="n"/>
      <c r="AD39" s="96" t="n"/>
      <c r="AE39" s="96" t="n"/>
      <c r="AF39" s="96" t="n"/>
      <c r="AG39" s="96" t="n"/>
      <c r="AH39" s="96" t="n"/>
      <c r="AI39" s="96" t="n"/>
      <c r="AJ39" s="96" t="n"/>
      <c r="AK39" s="96" t="n"/>
      <c r="AL39" s="96" t="n"/>
      <c r="AM39" s="96" t="n"/>
      <c r="AN39" s="96" t="n"/>
    </row>
    <row r="40" hidden="1">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c r="AA40" s="96" t="n"/>
      <c r="AB40" s="96" t="n"/>
      <c r="AC40" s="96" t="n"/>
      <c r="AD40" s="96" t="n"/>
      <c r="AE40" s="96" t="n"/>
      <c r="AF40" s="96" t="n"/>
      <c r="AG40" s="96" t="n"/>
      <c r="AH40" s="96" t="n"/>
      <c r="AI40" s="96" t="n"/>
      <c r="AJ40" s="96" t="n"/>
      <c r="AK40" s="96" t="n"/>
      <c r="AL40" s="96" t="n"/>
      <c r="AM40" s="96" t="n"/>
      <c r="AN40" s="96" t="n"/>
    </row>
    <row r="41" hidden="1">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c r="AA41" s="96" t="n"/>
      <c r="AB41" s="96" t="n"/>
      <c r="AC41" s="96" t="n"/>
      <c r="AD41" s="96" t="n"/>
      <c r="AE41" s="96" t="n"/>
      <c r="AF41" s="96" t="n"/>
      <c r="AG41" s="96" t="n"/>
      <c r="AH41" s="96" t="n"/>
      <c r="AI41" s="96" t="n"/>
      <c r="AJ41" s="96" t="n"/>
      <c r="AK41" s="96" t="n"/>
      <c r="AL41" s="96" t="n"/>
      <c r="AM41" s="96" t="n"/>
      <c r="AN41" s="96" t="n"/>
    </row>
    <row r="42" hidden="1">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c r="AA42" s="96" t="n"/>
      <c r="AB42" s="96" t="n"/>
      <c r="AC42" s="96" t="n"/>
      <c r="AD42" s="96" t="n"/>
      <c r="AE42" s="96" t="n"/>
      <c r="AF42" s="96" t="n"/>
      <c r="AG42" s="96" t="n"/>
      <c r="AH42" s="96" t="n"/>
      <c r="AI42" s="96" t="n"/>
      <c r="AJ42" s="96" t="n"/>
      <c r="AK42" s="96" t="n"/>
      <c r="AL42" s="96" t="n"/>
      <c r="AM42" s="96" t="n"/>
      <c r="AN42" s="96" t="n"/>
    </row>
    <row r="43" hidden="1">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c r="AA43" s="96" t="n"/>
      <c r="AB43" s="96" t="n"/>
      <c r="AC43" s="96" t="n"/>
      <c r="AD43" s="96" t="n"/>
      <c r="AE43" s="96" t="n"/>
      <c r="AF43" s="96" t="n"/>
      <c r="AG43" s="96" t="n"/>
      <c r="AH43" s="96" t="n"/>
      <c r="AI43" s="96" t="n"/>
      <c r="AJ43" s="96" t="n"/>
      <c r="AK43" s="96" t="n"/>
      <c r="AL43" s="96" t="n"/>
      <c r="AM43" s="96" t="n"/>
      <c r="AN43" s="96" t="n"/>
    </row>
    <row r="44" hidden="1">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c r="AA44" s="96" t="n"/>
      <c r="AB44" s="96" t="n"/>
      <c r="AC44" s="96" t="n"/>
      <c r="AD44" s="96" t="n"/>
      <c r="AE44" s="96" t="n"/>
      <c r="AF44" s="96" t="n"/>
      <c r="AG44" s="96" t="n"/>
      <c r="AH44" s="96" t="n"/>
      <c r="AI44" s="96" t="n"/>
      <c r="AJ44" s="96" t="n"/>
      <c r="AK44" s="96" t="n"/>
      <c r="AL44" s="96" t="n"/>
      <c r="AM44" s="96" t="n"/>
      <c r="AN44" s="96" t="n"/>
    </row>
    <row r="45" hidden="1">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c r="AA45" s="96" t="n"/>
      <c r="AB45" s="96" t="n"/>
      <c r="AC45" s="96" t="n"/>
      <c r="AD45" s="96" t="n"/>
      <c r="AE45" s="96" t="n"/>
      <c r="AF45" s="96" t="n"/>
      <c r="AG45" s="96" t="n"/>
      <c r="AH45" s="96" t="n"/>
      <c r="AI45" s="96" t="n"/>
      <c r="AJ45" s="96" t="n"/>
      <c r="AK45" s="96" t="n"/>
      <c r="AL45" s="96" t="n"/>
      <c r="AM45" s="96" t="n"/>
      <c r="AN45" s="96" t="n"/>
    </row>
    <row r="46" hidden="1">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c r="AA46" s="96" t="n"/>
      <c r="AB46" s="96" t="n"/>
      <c r="AC46" s="96" t="n"/>
      <c r="AD46" s="96" t="n"/>
      <c r="AE46" s="96" t="n"/>
      <c r="AF46" s="96" t="n"/>
      <c r="AG46" s="96" t="n"/>
      <c r="AH46" s="96" t="n"/>
      <c r="AI46" s="96" t="n"/>
      <c r="AJ46" s="96" t="n"/>
      <c r="AK46" s="96" t="n"/>
      <c r="AL46" s="96" t="n"/>
      <c r="AM46" s="96" t="n"/>
      <c r="AN46" s="96" t="n"/>
    </row>
    <row r="47" hidden="1">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c r="AA47" s="96" t="n"/>
      <c r="AB47" s="96" t="n"/>
      <c r="AC47" s="96" t="n"/>
      <c r="AD47" s="96" t="n"/>
      <c r="AE47" s="96" t="n"/>
      <c r="AF47" s="96" t="n"/>
      <c r="AG47" s="96" t="n"/>
      <c r="AH47" s="96" t="n"/>
      <c r="AI47" s="96" t="n"/>
      <c r="AJ47" s="96" t="n"/>
      <c r="AK47" s="96" t="n"/>
      <c r="AL47" s="96" t="n"/>
      <c r="AM47" s="96" t="n"/>
      <c r="AN47" s="96" t="n"/>
    </row>
    <row r="48" hidden="1">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c r="AA48" s="96" t="n"/>
      <c r="AB48" s="96" t="n"/>
      <c r="AC48" s="96" t="n"/>
      <c r="AD48" s="96" t="n"/>
      <c r="AE48" s="96" t="n"/>
      <c r="AF48" s="96" t="n"/>
      <c r="AG48" s="96" t="n"/>
      <c r="AH48" s="96" t="n"/>
      <c r="AI48" s="96" t="n"/>
      <c r="AJ48" s="96" t="n"/>
      <c r="AK48" s="96" t="n"/>
      <c r="AL48" s="96" t="n"/>
      <c r="AM48" s="96" t="n"/>
      <c r="AN48" s="96" t="n"/>
    </row>
    <row r="49" hidden="1">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c r="AA49" s="96" t="n"/>
      <c r="AB49" s="96" t="n"/>
      <c r="AC49" s="96" t="n"/>
      <c r="AD49" s="96" t="n"/>
      <c r="AE49" s="96" t="n"/>
      <c r="AF49" s="96" t="n"/>
      <c r="AG49" s="96" t="n"/>
      <c r="AH49" s="96" t="n"/>
      <c r="AI49" s="96" t="n"/>
      <c r="AJ49" s="96" t="n"/>
      <c r="AK49" s="96" t="n"/>
      <c r="AL49" s="96" t="n"/>
      <c r="AM49" s="96" t="n"/>
      <c r="AN49" s="96" t="n"/>
    </row>
    <row r="50" hidden="1">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c r="AA50" s="96" t="n"/>
      <c r="AB50" s="96" t="n"/>
      <c r="AC50" s="96" t="n"/>
      <c r="AD50" s="96" t="n"/>
      <c r="AE50" s="96" t="n"/>
      <c r="AF50" s="96" t="n"/>
      <c r="AG50" s="96" t="n"/>
      <c r="AH50" s="96" t="n"/>
      <c r="AI50" s="96" t="n"/>
      <c r="AJ50" s="96" t="n"/>
      <c r="AK50" s="96" t="n"/>
      <c r="AL50" s="96" t="n"/>
      <c r="AM50" s="96" t="n"/>
      <c r="AN50" s="96" t="n"/>
    </row>
    <row r="51" hidden="1">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c r="AA51" s="96" t="n"/>
      <c r="AB51" s="96" t="n"/>
      <c r="AC51" s="96" t="n"/>
      <c r="AD51" s="96" t="n"/>
      <c r="AE51" s="96" t="n"/>
      <c r="AF51" s="96" t="n"/>
      <c r="AG51" s="96" t="n"/>
      <c r="AH51" s="96" t="n"/>
      <c r="AI51" s="96" t="n"/>
      <c r="AJ51" s="96" t="n"/>
      <c r="AK51" s="96" t="n"/>
      <c r="AL51" s="96" t="n"/>
      <c r="AM51" s="96" t="n"/>
      <c r="AN51" s="96" t="n"/>
    </row>
    <row r="52" hidden="1">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row>
    <row r="53" hidden="1">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c r="AA53" s="96" t="n"/>
      <c r="AB53" s="96" t="n"/>
      <c r="AC53" s="96" t="n"/>
      <c r="AD53" s="96" t="n"/>
      <c r="AE53" s="96" t="n"/>
      <c r="AF53" s="96" t="n"/>
      <c r="AG53" s="96" t="n"/>
      <c r="AH53" s="96" t="n"/>
      <c r="AI53" s="96" t="n"/>
      <c r="AJ53" s="96" t="n"/>
      <c r="AK53" s="96" t="n"/>
      <c r="AL53" s="96" t="n"/>
      <c r="AM53" s="96" t="n"/>
      <c r="AN53" s="96" t="n"/>
    </row>
    <row r="54" hidden="1">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c r="AA54" s="96" t="n"/>
      <c r="AB54" s="96" t="n"/>
      <c r="AC54" s="96" t="n"/>
      <c r="AD54" s="96" t="n"/>
      <c r="AE54" s="96" t="n"/>
      <c r="AF54" s="96" t="n"/>
      <c r="AG54" s="96" t="n"/>
      <c r="AH54" s="96" t="n"/>
      <c r="AI54" s="96" t="n"/>
      <c r="AJ54" s="96" t="n"/>
      <c r="AK54" s="96" t="n"/>
      <c r="AL54" s="96" t="n"/>
      <c r="AM54" s="96" t="n"/>
      <c r="AN54" s="96" t="n"/>
    </row>
    <row r="55" hidden="1">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c r="AA55" s="96" t="n"/>
      <c r="AB55" s="96" t="n"/>
      <c r="AC55" s="96" t="n"/>
      <c r="AD55" s="96" t="n"/>
      <c r="AE55" s="96" t="n"/>
      <c r="AF55" s="96" t="n"/>
      <c r="AG55" s="96" t="n"/>
      <c r="AH55" s="96" t="n"/>
      <c r="AI55" s="96" t="n"/>
      <c r="AJ55" s="96" t="n"/>
      <c r="AK55" s="96" t="n"/>
      <c r="AL55" s="96" t="n"/>
      <c r="AM55" s="96" t="n"/>
      <c r="AN55" s="96" t="n"/>
    </row>
    <row r="56" hidden="1">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c r="AA56" s="96" t="n"/>
      <c r="AB56" s="96" t="n"/>
      <c r="AC56" s="96" t="n"/>
      <c r="AD56" s="96" t="n"/>
      <c r="AE56" s="96" t="n"/>
      <c r="AF56" s="96" t="n"/>
      <c r="AG56" s="96" t="n"/>
      <c r="AH56" s="96" t="n"/>
      <c r="AI56" s="96" t="n"/>
      <c r="AJ56" s="96" t="n"/>
      <c r="AK56" s="96" t="n"/>
      <c r="AL56" s="96" t="n"/>
      <c r="AM56" s="96" t="n"/>
      <c r="AN56" s="96" t="n"/>
    </row>
    <row r="57" hidden="1">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c r="AA57" s="96" t="n"/>
      <c r="AB57" s="96" t="n"/>
      <c r="AC57" s="96" t="n"/>
      <c r="AD57" s="96" t="n"/>
      <c r="AE57" s="96" t="n"/>
      <c r="AF57" s="96" t="n"/>
      <c r="AG57" s="96" t="n"/>
      <c r="AH57" s="96" t="n"/>
      <c r="AI57" s="96" t="n"/>
      <c r="AJ57" s="96" t="n"/>
      <c r="AK57" s="96" t="n"/>
      <c r="AL57" s="96" t="n"/>
      <c r="AM57" s="96" t="n"/>
      <c r="AN57" s="96" t="n"/>
    </row>
    <row r="58" hidden="1">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c r="AA58" s="96" t="n"/>
      <c r="AB58" s="96" t="n"/>
      <c r="AC58" s="96" t="n"/>
      <c r="AD58" s="96" t="n"/>
      <c r="AE58" s="96" t="n"/>
      <c r="AF58" s="96" t="n"/>
      <c r="AG58" s="96" t="n"/>
      <c r="AH58" s="96" t="n"/>
      <c r="AI58" s="96" t="n"/>
      <c r="AJ58" s="96" t="n"/>
      <c r="AK58" s="96" t="n"/>
      <c r="AL58" s="96" t="n"/>
      <c r="AM58" s="96" t="n"/>
      <c r="AN58" s="96" t="n"/>
    </row>
    <row r="59" hidden="1">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c r="AA59" s="96" t="n"/>
      <c r="AB59" s="96" t="n"/>
      <c r="AC59" s="96" t="n"/>
      <c r="AD59" s="96" t="n"/>
      <c r="AE59" s="96" t="n"/>
      <c r="AF59" s="96" t="n"/>
      <c r="AG59" s="96" t="n"/>
      <c r="AH59" s="96" t="n"/>
      <c r="AI59" s="96" t="n"/>
      <c r="AJ59" s="96" t="n"/>
      <c r="AK59" s="96" t="n"/>
      <c r="AL59" s="96" t="n"/>
      <c r="AM59" s="96" t="n"/>
      <c r="AN59" s="96" t="n"/>
    </row>
    <row r="60" hidden="1">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c r="AA60" s="96" t="n"/>
      <c r="AB60" s="96" t="n"/>
      <c r="AC60" s="96" t="n"/>
      <c r="AD60" s="96" t="n"/>
      <c r="AE60" s="96" t="n"/>
      <c r="AF60" s="96" t="n"/>
      <c r="AG60" s="96" t="n"/>
      <c r="AH60" s="96" t="n"/>
      <c r="AI60" s="96" t="n"/>
      <c r="AJ60" s="96" t="n"/>
      <c r="AK60" s="96" t="n"/>
      <c r="AL60" s="96" t="n"/>
      <c r="AM60" s="96" t="n"/>
      <c r="AN60" s="96" t="n"/>
    </row>
    <row r="61" hidden="1">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c r="AA61" s="96" t="n"/>
      <c r="AB61" s="96" t="n"/>
      <c r="AC61" s="96" t="n"/>
      <c r="AD61" s="96" t="n"/>
      <c r="AE61" s="96" t="n"/>
      <c r="AF61" s="96" t="n"/>
      <c r="AG61" s="96" t="n"/>
      <c r="AH61" s="96" t="n"/>
      <c r="AI61" s="96" t="n"/>
      <c r="AJ61" s="96" t="n"/>
      <c r="AK61" s="96" t="n"/>
      <c r="AL61" s="96" t="n"/>
      <c r="AM61" s="96" t="n"/>
      <c r="AN61" s="96" t="n"/>
    </row>
    <row r="62" hidden="1">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c r="AA62" s="96" t="n"/>
      <c r="AB62" s="96" t="n"/>
      <c r="AC62" s="96" t="n"/>
      <c r="AD62" s="96" t="n"/>
      <c r="AE62" s="96" t="n"/>
      <c r="AF62" s="96" t="n"/>
      <c r="AG62" s="96" t="n"/>
      <c r="AH62" s="96" t="n"/>
      <c r="AI62" s="96" t="n"/>
      <c r="AJ62" s="96" t="n"/>
      <c r="AK62" s="96" t="n"/>
      <c r="AL62" s="96" t="n"/>
      <c r="AM62" s="96" t="n"/>
      <c r="AN62" s="96" t="n"/>
    </row>
    <row r="63" hidden="1">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c r="AA63" s="96" t="n"/>
      <c r="AB63" s="96" t="n"/>
      <c r="AC63" s="96" t="n"/>
      <c r="AD63" s="96" t="n"/>
      <c r="AE63" s="96" t="n"/>
      <c r="AF63" s="96" t="n"/>
      <c r="AG63" s="96" t="n"/>
      <c r="AH63" s="96" t="n"/>
      <c r="AI63" s="96" t="n"/>
      <c r="AJ63" s="96" t="n"/>
      <c r="AK63" s="96" t="n"/>
      <c r="AL63" s="96" t="n"/>
      <c r="AM63" s="96" t="n"/>
      <c r="AN63" s="96" t="n"/>
    </row>
    <row r="64" hidden="1">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c r="AA64" s="96" t="n"/>
      <c r="AB64" s="96" t="n"/>
      <c r="AC64" s="96" t="n"/>
      <c r="AD64" s="96" t="n"/>
      <c r="AE64" s="96" t="n"/>
      <c r="AF64" s="96" t="n"/>
      <c r="AG64" s="96" t="n"/>
      <c r="AH64" s="96" t="n"/>
      <c r="AI64" s="96" t="n"/>
      <c r="AJ64" s="96" t="n"/>
      <c r="AK64" s="96" t="n"/>
      <c r="AL64" s="96" t="n"/>
      <c r="AM64" s="96" t="n"/>
      <c r="AN64" s="96" t="n"/>
    </row>
    <row r="65" hidden="1">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c r="AA65" s="96" t="n"/>
      <c r="AB65" s="96" t="n"/>
      <c r="AC65" s="96" t="n"/>
      <c r="AD65" s="96" t="n"/>
      <c r="AE65" s="96" t="n"/>
      <c r="AF65" s="96" t="n"/>
      <c r="AG65" s="96" t="n"/>
      <c r="AH65" s="96" t="n"/>
      <c r="AI65" s="96" t="n"/>
      <c r="AJ65" s="96" t="n"/>
      <c r="AK65" s="96" t="n"/>
      <c r="AL65" s="96" t="n"/>
      <c r="AM65" s="96" t="n"/>
      <c r="AN65" s="96" t="n"/>
    </row>
    <row r="66" hidden="1">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c r="AA66" s="96" t="n"/>
      <c r="AB66" s="96" t="n"/>
      <c r="AC66" s="96" t="n"/>
      <c r="AD66" s="96" t="n"/>
      <c r="AE66" s="96" t="n"/>
      <c r="AF66" s="96" t="n"/>
      <c r="AG66" s="96" t="n"/>
      <c r="AH66" s="96" t="n"/>
      <c r="AI66" s="96" t="n"/>
      <c r="AJ66" s="96" t="n"/>
      <c r="AK66" s="96" t="n"/>
      <c r="AL66" s="96" t="n"/>
      <c r="AM66" s="96" t="n"/>
      <c r="AN66" s="96" t="n"/>
    </row>
    <row r="67" hidden="1">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c r="AA67" s="96" t="n"/>
      <c r="AB67" s="96" t="n"/>
      <c r="AC67" s="96" t="n"/>
      <c r="AD67" s="96" t="n"/>
      <c r="AE67" s="96" t="n"/>
      <c r="AF67" s="96" t="n"/>
      <c r="AG67" s="96" t="n"/>
      <c r="AH67" s="96" t="n"/>
      <c r="AI67" s="96" t="n"/>
      <c r="AJ67" s="96" t="n"/>
      <c r="AK67" s="96" t="n"/>
      <c r="AL67" s="96" t="n"/>
      <c r="AM67" s="96" t="n"/>
      <c r="AN67" s="96" t="n"/>
    </row>
    <row r="68" hidden="1">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c r="AA68" s="96" t="n"/>
      <c r="AB68" s="96" t="n"/>
      <c r="AC68" s="96" t="n"/>
      <c r="AD68" s="96" t="n"/>
      <c r="AE68" s="96" t="n"/>
      <c r="AF68" s="96" t="n"/>
      <c r="AG68" s="96" t="n"/>
      <c r="AH68" s="96" t="n"/>
      <c r="AI68" s="96" t="n"/>
      <c r="AJ68" s="96" t="n"/>
      <c r="AK68" s="96" t="n"/>
      <c r="AL68" s="96" t="n"/>
      <c r="AM68" s="96" t="n"/>
      <c r="AN68" s="96" t="n"/>
    </row>
    <row r="69" hidden="1">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c r="AA69" s="96" t="n"/>
      <c r="AB69" s="96" t="n"/>
      <c r="AC69" s="96" t="n"/>
      <c r="AD69" s="96" t="n"/>
      <c r="AE69" s="96" t="n"/>
      <c r="AF69" s="96" t="n"/>
      <c r="AG69" s="96" t="n"/>
      <c r="AH69" s="96" t="n"/>
      <c r="AI69" s="96" t="n"/>
      <c r="AJ69" s="96" t="n"/>
      <c r="AK69" s="96" t="n"/>
      <c r="AL69" s="96" t="n"/>
      <c r="AM69" s="96" t="n"/>
      <c r="AN69" s="96" t="n"/>
    </row>
    <row r="70" hidden="1">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c r="AA70" s="96" t="n"/>
      <c r="AB70" s="96" t="n"/>
      <c r="AC70" s="96" t="n"/>
      <c r="AD70" s="96" t="n"/>
      <c r="AE70" s="96" t="n"/>
      <c r="AF70" s="96" t="n"/>
      <c r="AG70" s="96" t="n"/>
      <c r="AH70" s="96" t="n"/>
      <c r="AI70" s="96" t="n"/>
      <c r="AJ70" s="96" t="n"/>
      <c r="AK70" s="96" t="n"/>
      <c r="AL70" s="96" t="n"/>
      <c r="AM70" s="96" t="n"/>
      <c r="AN70" s="96" t="n"/>
    </row>
    <row r="71" hidden="1">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c r="AA71" s="96" t="n"/>
      <c r="AB71" s="96" t="n"/>
      <c r="AC71" s="96" t="n"/>
      <c r="AD71" s="96" t="n"/>
      <c r="AE71" s="96" t="n"/>
      <c r="AF71" s="96" t="n"/>
      <c r="AG71" s="96" t="n"/>
      <c r="AH71" s="96" t="n"/>
      <c r="AI71" s="96" t="n"/>
      <c r="AJ71" s="96" t="n"/>
      <c r="AK71" s="96" t="n"/>
      <c r="AL71" s="96" t="n"/>
      <c r="AM71" s="96" t="n"/>
      <c r="AN71" s="96" t="n"/>
    </row>
    <row r="72" hidden="1">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c r="AA72" s="96" t="n"/>
      <c r="AB72" s="96" t="n"/>
      <c r="AC72" s="96" t="n"/>
      <c r="AD72" s="96" t="n"/>
      <c r="AE72" s="96" t="n"/>
      <c r="AF72" s="96" t="n"/>
      <c r="AG72" s="96" t="n"/>
      <c r="AH72" s="96" t="n"/>
      <c r="AI72" s="96" t="n"/>
      <c r="AJ72" s="96" t="n"/>
      <c r="AK72" s="96" t="n"/>
      <c r="AL72" s="96" t="n"/>
      <c r="AM72" s="96" t="n"/>
      <c r="AN72" s="96" t="n"/>
    </row>
    <row r="73" hidden="1">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c r="AA73" s="96" t="n"/>
      <c r="AB73" s="96" t="n"/>
      <c r="AC73" s="96" t="n"/>
      <c r="AD73" s="96" t="n"/>
      <c r="AE73" s="96" t="n"/>
      <c r="AF73" s="96" t="n"/>
      <c r="AG73" s="96" t="n"/>
      <c r="AH73" s="96" t="n"/>
      <c r="AI73" s="96" t="n"/>
      <c r="AJ73" s="96" t="n"/>
      <c r="AK73" s="96" t="n"/>
      <c r="AL73" s="96" t="n"/>
      <c r="AM73" s="96" t="n"/>
      <c r="AN73" s="96" t="n"/>
    </row>
    <row r="74" hidden="1">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c r="AA74" s="96" t="n"/>
      <c r="AB74" s="96" t="n"/>
      <c r="AC74" s="96" t="n"/>
      <c r="AD74" s="96" t="n"/>
      <c r="AE74" s="96" t="n"/>
      <c r="AF74" s="96" t="n"/>
      <c r="AG74" s="96" t="n"/>
      <c r="AH74" s="96" t="n"/>
      <c r="AI74" s="96" t="n"/>
      <c r="AJ74" s="96" t="n"/>
      <c r="AK74" s="96" t="n"/>
      <c r="AL74" s="96" t="n"/>
      <c r="AM74" s="96" t="n"/>
      <c r="AN74" s="96" t="n"/>
    </row>
    <row r="75" hidden="1">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c r="AA75" s="96" t="n"/>
      <c r="AB75" s="96" t="n"/>
      <c r="AC75" s="96" t="n"/>
      <c r="AD75" s="96" t="n"/>
      <c r="AE75" s="96" t="n"/>
      <c r="AF75" s="96" t="n"/>
      <c r="AG75" s="96" t="n"/>
      <c r="AH75" s="96" t="n"/>
      <c r="AI75" s="96" t="n"/>
      <c r="AJ75" s="96" t="n"/>
      <c r="AK75" s="96" t="n"/>
      <c r="AL75" s="96" t="n"/>
      <c r="AM75" s="96" t="n"/>
      <c r="AN75" s="96" t="n"/>
    </row>
    <row r="76" hidden="1">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c r="AA76" s="96" t="n"/>
      <c r="AB76" s="96" t="n"/>
      <c r="AC76" s="96" t="n"/>
      <c r="AD76" s="96" t="n"/>
      <c r="AE76" s="96" t="n"/>
      <c r="AF76" s="96" t="n"/>
      <c r="AG76" s="96" t="n"/>
      <c r="AH76" s="96" t="n"/>
      <c r="AI76" s="96" t="n"/>
      <c r="AJ76" s="96" t="n"/>
      <c r="AK76" s="96" t="n"/>
      <c r="AL76" s="96" t="n"/>
      <c r="AM76" s="96" t="n"/>
      <c r="AN76" s="96" t="n"/>
    </row>
    <row r="77" hidden="1">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c r="AA77" s="96" t="n"/>
      <c r="AB77" s="96" t="n"/>
      <c r="AC77" s="96" t="n"/>
      <c r="AD77" s="96" t="n"/>
      <c r="AE77" s="96" t="n"/>
      <c r="AF77" s="96" t="n"/>
      <c r="AG77" s="96" t="n"/>
      <c r="AH77" s="96" t="n"/>
      <c r="AI77" s="96" t="n"/>
      <c r="AJ77" s="96" t="n"/>
      <c r="AK77" s="96" t="n"/>
      <c r="AL77" s="96" t="n"/>
      <c r="AM77" s="96" t="n"/>
      <c r="AN77" s="96" t="n"/>
    </row>
    <row r="78" hidden="1">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row>
    <row r="79" hidden="1">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row>
    <row r="80" hidden="1">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row>
    <row r="81" hidden="1">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c r="AA81" s="96" t="n"/>
      <c r="AB81" s="96" t="n"/>
      <c r="AC81" s="96" t="n"/>
      <c r="AD81" s="96" t="n"/>
      <c r="AE81" s="96" t="n"/>
      <c r="AF81" s="96" t="n"/>
      <c r="AG81" s="96" t="n"/>
      <c r="AH81" s="96" t="n"/>
      <c r="AI81" s="96" t="n"/>
      <c r="AJ81" s="96" t="n"/>
      <c r="AK81" s="96" t="n"/>
      <c r="AL81" s="96" t="n"/>
      <c r="AM81" s="96" t="n"/>
      <c r="AN81" s="96" t="n"/>
    </row>
    <row r="82" hidden="1">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c r="AA82" s="96" t="n"/>
      <c r="AB82" s="96" t="n"/>
      <c r="AC82" s="96" t="n"/>
      <c r="AD82" s="96" t="n"/>
      <c r="AE82" s="96" t="n"/>
      <c r="AF82" s="96" t="n"/>
      <c r="AG82" s="96" t="n"/>
      <c r="AH82" s="96" t="n"/>
      <c r="AI82" s="96" t="n"/>
      <c r="AJ82" s="96" t="n"/>
      <c r="AK82" s="96" t="n"/>
      <c r="AL82" s="96" t="n"/>
      <c r="AM82" s="96" t="n"/>
      <c r="AN82" s="96" t="n"/>
    </row>
    <row r="83" hidden="1">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c r="AA83" s="96" t="n"/>
      <c r="AB83" s="96" t="n"/>
      <c r="AC83" s="96" t="n"/>
      <c r="AD83" s="96" t="n"/>
      <c r="AE83" s="96" t="n"/>
      <c r="AF83" s="96" t="n"/>
      <c r="AG83" s="96" t="n"/>
      <c r="AH83" s="96" t="n"/>
      <c r="AI83" s="96" t="n"/>
      <c r="AJ83" s="96" t="n"/>
      <c r="AK83" s="96" t="n"/>
      <c r="AL83" s="96" t="n"/>
      <c r="AM83" s="96" t="n"/>
      <c r="AN83" s="96" t="n"/>
    </row>
    <row r="84" hidden="1">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c r="AA84" s="96" t="n"/>
      <c r="AB84" s="96" t="n"/>
      <c r="AC84" s="96" t="n"/>
      <c r="AD84" s="96" t="n"/>
      <c r="AE84" s="96" t="n"/>
      <c r="AF84" s="96" t="n"/>
      <c r="AG84" s="96" t="n"/>
      <c r="AH84" s="96" t="n"/>
      <c r="AI84" s="96" t="n"/>
      <c r="AJ84" s="96" t="n"/>
      <c r="AK84" s="96" t="n"/>
      <c r="AL84" s="96" t="n"/>
      <c r="AM84" s="96" t="n"/>
      <c r="AN84" s="96" t="n"/>
    </row>
    <row r="85" hidden="1">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c r="AA85" s="96" t="n"/>
      <c r="AB85" s="96" t="n"/>
      <c r="AC85" s="96" t="n"/>
      <c r="AD85" s="96" t="n"/>
      <c r="AE85" s="96" t="n"/>
      <c r="AF85" s="96" t="n"/>
      <c r="AG85" s="96" t="n"/>
      <c r="AH85" s="96" t="n"/>
      <c r="AI85" s="96" t="n"/>
      <c r="AJ85" s="96" t="n"/>
      <c r="AK85" s="96" t="n"/>
      <c r="AL85" s="96" t="n"/>
      <c r="AM85" s="96" t="n"/>
      <c r="AN85" s="96" t="n"/>
    </row>
    <row r="86" hidden="1">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c r="AA86" s="96" t="n"/>
      <c r="AB86" s="96" t="n"/>
      <c r="AC86" s="96" t="n"/>
      <c r="AD86" s="96" t="n"/>
      <c r="AE86" s="96" t="n"/>
      <c r="AF86" s="96" t="n"/>
      <c r="AG86" s="96" t="n"/>
      <c r="AH86" s="96" t="n"/>
      <c r="AI86" s="96" t="n"/>
      <c r="AJ86" s="96" t="n"/>
      <c r="AK86" s="96" t="n"/>
      <c r="AL86" s="96" t="n"/>
      <c r="AM86" s="96" t="n"/>
      <c r="AN86" s="96" t="n"/>
    </row>
    <row r="87" hidden="1">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c r="AA87" s="96" t="n"/>
      <c r="AB87" s="96" t="n"/>
      <c r="AC87" s="96" t="n"/>
      <c r="AD87" s="96" t="n"/>
      <c r="AE87" s="96" t="n"/>
      <c r="AF87" s="96" t="n"/>
      <c r="AG87" s="96" t="n"/>
      <c r="AH87" s="96" t="n"/>
      <c r="AI87" s="96" t="n"/>
      <c r="AJ87" s="96" t="n"/>
      <c r="AK87" s="96" t="n"/>
      <c r="AL87" s="96" t="n"/>
      <c r="AM87" s="96" t="n"/>
      <c r="AN87" s="96" t="n"/>
    </row>
    <row r="88" hidden="1">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c r="AA88" s="96" t="n"/>
      <c r="AB88" s="96" t="n"/>
      <c r="AC88" s="96" t="n"/>
      <c r="AD88" s="96" t="n"/>
      <c r="AE88" s="96" t="n"/>
      <c r="AF88" s="96" t="n"/>
      <c r="AG88" s="96" t="n"/>
      <c r="AH88" s="96" t="n"/>
      <c r="AI88" s="96" t="n"/>
      <c r="AJ88" s="96" t="n"/>
      <c r="AK88" s="96" t="n"/>
      <c r="AL88" s="96" t="n"/>
      <c r="AM88" s="96" t="n"/>
      <c r="AN88" s="96" t="n"/>
    </row>
    <row r="89" hidden="1">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c r="AA89" s="96" t="n"/>
      <c r="AB89" s="96" t="n"/>
      <c r="AC89" s="96" t="n"/>
      <c r="AD89" s="96" t="n"/>
      <c r="AE89" s="96" t="n"/>
      <c r="AF89" s="96" t="n"/>
      <c r="AG89" s="96" t="n"/>
      <c r="AH89" s="96" t="n"/>
      <c r="AI89" s="96" t="n"/>
      <c r="AJ89" s="96" t="n"/>
      <c r="AK89" s="96" t="n"/>
      <c r="AL89" s="96" t="n"/>
      <c r="AM89" s="96" t="n"/>
      <c r="AN89" s="96" t="n"/>
    </row>
    <row r="90" hidden="1">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c r="AA90" s="96" t="n"/>
      <c r="AB90" s="96" t="n"/>
      <c r="AC90" s="96" t="n"/>
      <c r="AD90" s="96" t="n"/>
      <c r="AE90" s="96" t="n"/>
      <c r="AF90" s="96" t="n"/>
      <c r="AG90" s="96" t="n"/>
      <c r="AH90" s="96" t="n"/>
      <c r="AI90" s="96" t="n"/>
      <c r="AJ90" s="96" t="n"/>
      <c r="AK90" s="96" t="n"/>
      <c r="AL90" s="96" t="n"/>
      <c r="AM90" s="96" t="n"/>
      <c r="AN90" s="96" t="n"/>
    </row>
    <row r="91" hidden="1">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c r="AA91" s="96" t="n"/>
      <c r="AB91" s="96" t="n"/>
      <c r="AC91" s="96" t="n"/>
      <c r="AD91" s="96" t="n"/>
      <c r="AE91" s="96" t="n"/>
      <c r="AF91" s="96" t="n"/>
      <c r="AG91" s="96" t="n"/>
      <c r="AH91" s="96" t="n"/>
      <c r="AI91" s="96" t="n"/>
      <c r="AJ91" s="96" t="n"/>
      <c r="AK91" s="96" t="n"/>
      <c r="AL91" s="96" t="n"/>
      <c r="AM91" s="96" t="n"/>
      <c r="AN91" s="96" t="n"/>
    </row>
    <row r="92" hidden="1">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c r="AA92" s="96" t="n"/>
      <c r="AB92" s="96" t="n"/>
      <c r="AC92" s="96" t="n"/>
      <c r="AD92" s="96" t="n"/>
      <c r="AE92" s="96" t="n"/>
      <c r="AF92" s="96" t="n"/>
      <c r="AG92" s="96" t="n"/>
      <c r="AH92" s="96" t="n"/>
      <c r="AI92" s="96" t="n"/>
      <c r="AJ92" s="96" t="n"/>
      <c r="AK92" s="96" t="n"/>
      <c r="AL92" s="96" t="n"/>
      <c r="AM92" s="96" t="n"/>
      <c r="AN92" s="96" t="n"/>
    </row>
    <row r="93" hidden="1">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c r="AA93" s="96" t="n"/>
      <c r="AB93" s="96" t="n"/>
      <c r="AC93" s="96" t="n"/>
      <c r="AD93" s="96" t="n"/>
      <c r="AE93" s="96" t="n"/>
      <c r="AF93" s="96" t="n"/>
      <c r="AG93" s="96" t="n"/>
      <c r="AH93" s="96" t="n"/>
      <c r="AI93" s="96" t="n"/>
      <c r="AJ93" s="96" t="n"/>
      <c r="AK93" s="96" t="n"/>
      <c r="AL93" s="96" t="n"/>
      <c r="AM93" s="96" t="n"/>
      <c r="AN93" s="96" t="n"/>
    </row>
    <row r="94" hidden="1">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c r="AA94" s="96" t="n"/>
      <c r="AB94" s="96" t="n"/>
      <c r="AC94" s="96" t="n"/>
      <c r="AD94" s="96" t="n"/>
      <c r="AE94" s="96" t="n"/>
      <c r="AF94" s="96" t="n"/>
      <c r="AG94" s="96" t="n"/>
      <c r="AH94" s="96" t="n"/>
      <c r="AI94" s="96" t="n"/>
      <c r="AJ94" s="96" t="n"/>
      <c r="AK94" s="96" t="n"/>
      <c r="AL94" s="96" t="n"/>
      <c r="AM94" s="96" t="n"/>
      <c r="AN94" s="96" t="n"/>
    </row>
    <row r="95" hidden="1">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c r="AA95" s="96" t="n"/>
      <c r="AB95" s="96" t="n"/>
      <c r="AC95" s="96" t="n"/>
      <c r="AD95" s="96" t="n"/>
      <c r="AE95" s="96" t="n"/>
      <c r="AF95" s="96" t="n"/>
      <c r="AG95" s="96" t="n"/>
      <c r="AH95" s="96" t="n"/>
      <c r="AI95" s="96" t="n"/>
      <c r="AJ95" s="96" t="n"/>
      <c r="AK95" s="96" t="n"/>
      <c r="AL95" s="96" t="n"/>
      <c r="AM95" s="96" t="n"/>
      <c r="AN95" s="96" t="n"/>
    </row>
    <row r="96" hidden="1">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c r="AA96" s="96" t="n"/>
      <c r="AB96" s="96" t="n"/>
      <c r="AC96" s="96" t="n"/>
      <c r="AD96" s="96" t="n"/>
      <c r="AE96" s="96" t="n"/>
      <c r="AF96" s="96" t="n"/>
      <c r="AG96" s="96" t="n"/>
      <c r="AH96" s="96" t="n"/>
      <c r="AI96" s="96" t="n"/>
      <c r="AJ96" s="96" t="n"/>
      <c r="AK96" s="96" t="n"/>
      <c r="AL96" s="96" t="n"/>
      <c r="AM96" s="96" t="n"/>
      <c r="AN96" s="96" t="n"/>
    </row>
    <row r="97" hidden="1">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c r="AA97" s="96" t="n"/>
      <c r="AB97" s="96" t="n"/>
      <c r="AC97" s="96" t="n"/>
      <c r="AD97" s="96" t="n"/>
      <c r="AE97" s="96" t="n"/>
      <c r="AF97" s="96" t="n"/>
      <c r="AG97" s="96" t="n"/>
      <c r="AH97" s="96" t="n"/>
      <c r="AI97" s="96" t="n"/>
      <c r="AJ97" s="96" t="n"/>
      <c r="AK97" s="96" t="n"/>
      <c r="AL97" s="96" t="n"/>
      <c r="AM97" s="96" t="n"/>
      <c r="AN97" s="96" t="n"/>
    </row>
    <row r="98" hidden="1">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c r="AA98" s="96" t="n"/>
      <c r="AB98" s="96" t="n"/>
      <c r="AC98" s="96" t="n"/>
      <c r="AD98" s="96" t="n"/>
      <c r="AE98" s="96" t="n"/>
      <c r="AF98" s="96" t="n"/>
      <c r="AG98" s="96" t="n"/>
      <c r="AH98" s="96" t="n"/>
      <c r="AI98" s="96" t="n"/>
      <c r="AJ98" s="96" t="n"/>
      <c r="AK98" s="96" t="n"/>
      <c r="AL98" s="96" t="n"/>
      <c r="AM98" s="96" t="n"/>
      <c r="AN98" s="96" t="n"/>
    </row>
    <row r="99" hidden="1">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c r="AA99" s="96" t="n"/>
      <c r="AB99" s="96" t="n"/>
      <c r="AC99" s="96" t="n"/>
      <c r="AD99" s="96" t="n"/>
      <c r="AE99" s="96" t="n"/>
      <c r="AF99" s="96" t="n"/>
      <c r="AG99" s="96" t="n"/>
      <c r="AH99" s="96" t="n"/>
      <c r="AI99" s="96" t="n"/>
      <c r="AJ99" s="96" t="n"/>
      <c r="AK99" s="96" t="n"/>
      <c r="AL99" s="96" t="n"/>
      <c r="AM99" s="96" t="n"/>
      <c r="AN99" s="96" t="n"/>
    </row>
    <row r="100" hidden="1">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c r="AA100" s="96" t="n"/>
      <c r="AB100" s="96" t="n"/>
      <c r="AC100" s="96" t="n"/>
      <c r="AD100" s="96" t="n"/>
      <c r="AE100" s="96" t="n"/>
      <c r="AF100" s="96" t="n"/>
      <c r="AG100" s="96" t="n"/>
      <c r="AH100" s="96" t="n"/>
      <c r="AI100" s="96" t="n"/>
      <c r="AJ100" s="96" t="n"/>
      <c r="AK100" s="96" t="n"/>
      <c r="AL100" s="96" t="n"/>
      <c r="AM100" s="96" t="n"/>
      <c r="AN100" s="96" t="n"/>
    </row>
    <row r="101" hidden="1">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c r="AA101" s="96" t="n"/>
      <c r="AB101" s="96" t="n"/>
      <c r="AC101" s="96" t="n"/>
      <c r="AD101" s="96" t="n"/>
      <c r="AE101" s="96" t="n"/>
      <c r="AF101" s="96" t="n"/>
      <c r="AG101" s="96" t="n"/>
      <c r="AH101" s="96" t="n"/>
      <c r="AI101" s="96" t="n"/>
      <c r="AJ101" s="96" t="n"/>
      <c r="AK101" s="96" t="n"/>
      <c r="AL101" s="96" t="n"/>
      <c r="AM101" s="96" t="n"/>
      <c r="AN101" s="96" t="n"/>
    </row>
    <row r="102" hidden="1">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c r="AA102" s="96" t="n"/>
      <c r="AB102" s="96" t="n"/>
      <c r="AC102" s="96" t="n"/>
      <c r="AD102" s="96" t="n"/>
      <c r="AE102" s="96" t="n"/>
      <c r="AF102" s="96" t="n"/>
      <c r="AG102" s="96" t="n"/>
      <c r="AH102" s="96" t="n"/>
      <c r="AI102" s="96" t="n"/>
      <c r="AJ102" s="96" t="n"/>
      <c r="AK102" s="96" t="n"/>
      <c r="AL102" s="96" t="n"/>
      <c r="AM102" s="96" t="n"/>
      <c r="AN102" s="96" t="n"/>
    </row>
    <row r="103" hidden="1">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c r="AA103" s="96" t="n"/>
      <c r="AB103" s="96" t="n"/>
      <c r="AC103" s="96" t="n"/>
      <c r="AD103" s="96" t="n"/>
      <c r="AE103" s="96" t="n"/>
      <c r="AF103" s="96" t="n"/>
      <c r="AG103" s="96" t="n"/>
      <c r="AH103" s="96" t="n"/>
      <c r="AI103" s="96" t="n"/>
      <c r="AJ103" s="96" t="n"/>
      <c r="AK103" s="96" t="n"/>
      <c r="AL103" s="96" t="n"/>
      <c r="AM103" s="96" t="n"/>
      <c r="AN103" s="96" t="n"/>
    </row>
    <row r="104" hidden="1">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c r="AA104" s="96" t="n"/>
      <c r="AB104" s="96" t="n"/>
      <c r="AC104" s="96" t="n"/>
      <c r="AD104" s="96" t="n"/>
      <c r="AE104" s="96" t="n"/>
      <c r="AF104" s="96" t="n"/>
      <c r="AG104" s="96" t="n"/>
      <c r="AH104" s="96" t="n"/>
      <c r="AI104" s="96" t="n"/>
      <c r="AJ104" s="96" t="n"/>
      <c r="AK104" s="96" t="n"/>
      <c r="AL104" s="96" t="n"/>
      <c r="AM104" s="96" t="n"/>
      <c r="AN104" s="96" t="n"/>
    </row>
    <row r="105" hidden="1">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c r="AA105" s="96" t="n"/>
      <c r="AB105" s="96" t="n"/>
      <c r="AC105" s="96" t="n"/>
      <c r="AD105" s="96" t="n"/>
      <c r="AE105" s="96" t="n"/>
      <c r="AF105" s="96" t="n"/>
      <c r="AG105" s="96" t="n"/>
      <c r="AH105" s="96" t="n"/>
      <c r="AI105" s="96" t="n"/>
      <c r="AJ105" s="96" t="n"/>
      <c r="AK105" s="96" t="n"/>
      <c r="AL105" s="96" t="n"/>
      <c r="AM105" s="96" t="n"/>
      <c r="AN105" s="96" t="n"/>
    </row>
    <row r="106" hidden="1">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row>
    <row r="107" hidden="1">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row>
    <row r="108" hidden="1">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row>
    <row r="109" hidden="1">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c r="AA109" s="96" t="n"/>
      <c r="AB109" s="96" t="n"/>
      <c r="AC109" s="96" t="n"/>
      <c r="AD109" s="96" t="n"/>
      <c r="AE109" s="96" t="n"/>
      <c r="AF109" s="96" t="n"/>
      <c r="AG109" s="96" t="n"/>
      <c r="AH109" s="96" t="n"/>
      <c r="AI109" s="96" t="n"/>
      <c r="AJ109" s="96" t="n"/>
      <c r="AK109" s="96" t="n"/>
      <c r="AL109" s="96" t="n"/>
      <c r="AM109" s="96" t="n"/>
      <c r="AN109" s="96" t="n"/>
    </row>
    <row r="110" hidden="1">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c r="AA110" s="96" t="n"/>
      <c r="AB110" s="96" t="n"/>
      <c r="AC110" s="96" t="n"/>
      <c r="AD110" s="96" t="n"/>
      <c r="AE110" s="96" t="n"/>
      <c r="AF110" s="96" t="n"/>
      <c r="AG110" s="96" t="n"/>
      <c r="AH110" s="96" t="n"/>
      <c r="AI110" s="96" t="n"/>
      <c r="AJ110" s="96" t="n"/>
      <c r="AK110" s="96" t="n"/>
      <c r="AL110" s="96" t="n"/>
      <c r="AM110" s="96" t="n"/>
      <c r="AN110" s="96" t="n"/>
    </row>
    <row r="111" hidden="1">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c r="AA111" s="96" t="n"/>
      <c r="AB111" s="96" t="n"/>
      <c r="AC111" s="96" t="n"/>
      <c r="AD111" s="96" t="n"/>
      <c r="AE111" s="96" t="n"/>
      <c r="AF111" s="96" t="n"/>
      <c r="AG111" s="96" t="n"/>
      <c r="AH111" s="96" t="n"/>
      <c r="AI111" s="96" t="n"/>
      <c r="AJ111" s="96" t="n"/>
      <c r="AK111" s="96" t="n"/>
      <c r="AL111" s="96" t="n"/>
      <c r="AM111" s="96" t="n"/>
      <c r="AN111" s="96" t="n"/>
    </row>
    <row r="112" hidden="1">
      <c r="A112" s="96" t="n"/>
      <c r="B112" s="96" t="n"/>
      <c r="C112" s="96" t="n"/>
      <c r="D112" s="96" t="n"/>
      <c r="E112" s="96" t="n"/>
      <c r="F112" s="96" t="n"/>
      <c r="G112" s="96" t="n"/>
      <c r="H112" s="96" t="n"/>
      <c r="I112" s="96" t="n"/>
      <c r="J112" s="96" t="n"/>
      <c r="K112" s="96" t="n"/>
      <c r="L112" s="96" t="n"/>
      <c r="M112" s="96" t="n"/>
      <c r="N112" s="96" t="n"/>
      <c r="O112" s="96" t="n"/>
      <c r="P112" s="96" t="n"/>
      <c r="Q112" s="96" t="n"/>
      <c r="R112" s="96" t="n"/>
      <c r="S112" s="96" t="n"/>
      <c r="T112" s="96" t="n"/>
      <c r="U112" s="96" t="n"/>
      <c r="V112" s="96" t="n"/>
      <c r="W112" s="96" t="n"/>
      <c r="X112" s="96" t="n"/>
      <c r="Y112" s="96" t="n"/>
      <c r="Z112" s="96" t="n"/>
      <c r="AA112" s="96" t="n"/>
      <c r="AB112" s="96" t="n"/>
      <c r="AC112" s="96" t="n"/>
      <c r="AD112" s="96" t="n"/>
      <c r="AE112" s="96" t="n"/>
      <c r="AF112" s="96" t="n"/>
      <c r="AG112" s="96" t="n"/>
      <c r="AH112" s="96" t="n"/>
      <c r="AI112" s="96" t="n"/>
      <c r="AJ112" s="96" t="n"/>
      <c r="AK112" s="96" t="n"/>
      <c r="AL112" s="96" t="n"/>
      <c r="AM112" s="96" t="n"/>
      <c r="AN112" s="96" t="n"/>
    </row>
    <row r="113" hidden="1">
      <c r="A113" s="96" t="n"/>
      <c r="B113" s="96" t="n"/>
      <c r="C113" s="96" t="n"/>
      <c r="D113" s="96" t="n"/>
      <c r="E113" s="96" t="n"/>
      <c r="F113" s="96" t="n"/>
      <c r="G113" s="96" t="n"/>
      <c r="H113" s="96" t="n"/>
      <c r="I113" s="96" t="n"/>
      <c r="J113" s="96" t="n"/>
      <c r="K113" s="96" t="n"/>
      <c r="L113" s="96" t="n"/>
      <c r="M113" s="96" t="n"/>
      <c r="N113" s="96" t="n"/>
      <c r="O113" s="96" t="n"/>
      <c r="P113" s="96" t="n"/>
      <c r="Q113" s="96" t="n"/>
      <c r="R113" s="96" t="n"/>
      <c r="S113" s="96" t="n"/>
      <c r="T113" s="96" t="n"/>
      <c r="U113" s="96" t="n"/>
      <c r="V113" s="96" t="n"/>
      <c r="W113" s="96" t="n"/>
      <c r="X113" s="96" t="n"/>
      <c r="Y113" s="96" t="n"/>
      <c r="Z113" s="96" t="n"/>
      <c r="AA113" s="96" t="n"/>
      <c r="AB113" s="96" t="n"/>
      <c r="AC113" s="96" t="n"/>
      <c r="AD113" s="96" t="n"/>
      <c r="AE113" s="96" t="n"/>
      <c r="AF113" s="96" t="n"/>
      <c r="AG113" s="96" t="n"/>
      <c r="AH113" s="96" t="n"/>
      <c r="AI113" s="96" t="n"/>
      <c r="AJ113" s="96" t="n"/>
      <c r="AK113" s="96" t="n"/>
      <c r="AL113" s="96" t="n"/>
      <c r="AM113" s="96" t="n"/>
      <c r="AN113" s="96" t="n"/>
    </row>
    <row r="114" hidden="1">
      <c r="A114" s="96" t="n"/>
      <c r="B114" s="96" t="n"/>
      <c r="C114" s="96" t="n"/>
      <c r="D114" s="96" t="n"/>
      <c r="E114" s="96" t="n"/>
      <c r="F114" s="96" t="n"/>
      <c r="G114" s="96" t="n"/>
      <c r="H114" s="96" t="n"/>
      <c r="I114" s="96" t="n"/>
      <c r="J114" s="96" t="n"/>
      <c r="K114" s="96" t="n"/>
      <c r="L114" s="96" t="n"/>
      <c r="M114" s="96" t="n"/>
      <c r="N114" s="96" t="n"/>
      <c r="O114" s="96" t="n"/>
      <c r="P114" s="96" t="n"/>
      <c r="Q114" s="96" t="n"/>
      <c r="R114" s="96" t="n"/>
      <c r="S114" s="96" t="n"/>
      <c r="T114" s="96" t="n"/>
      <c r="U114" s="96" t="n"/>
      <c r="V114" s="96" t="n"/>
      <c r="W114" s="96" t="n"/>
      <c r="X114" s="96" t="n"/>
      <c r="Y114" s="96" t="n"/>
      <c r="Z114" s="96" t="n"/>
      <c r="AA114" s="96" t="n"/>
      <c r="AB114" s="96" t="n"/>
      <c r="AC114" s="96" t="n"/>
      <c r="AD114" s="96" t="n"/>
      <c r="AE114" s="96" t="n"/>
      <c r="AF114" s="96" t="n"/>
      <c r="AG114" s="96" t="n"/>
      <c r="AH114" s="96" t="n"/>
      <c r="AI114" s="96" t="n"/>
      <c r="AJ114" s="96" t="n"/>
      <c r="AK114" s="96" t="n"/>
      <c r="AL114" s="96" t="n"/>
      <c r="AM114" s="96" t="n"/>
      <c r="AN114" s="96" t="n"/>
    </row>
    <row r="115" hidden="1">
      <c r="A115" s="96" t="n"/>
      <c r="B115" s="96" t="n"/>
      <c r="C115" s="96" t="n"/>
      <c r="D115" s="96" t="n"/>
      <c r="E115" s="96" t="n"/>
      <c r="F115" s="96" t="n"/>
      <c r="G115" s="96" t="n"/>
      <c r="H115" s="96" t="n"/>
      <c r="I115" s="96" t="n"/>
      <c r="J115" s="96" t="n"/>
      <c r="K115" s="96" t="n"/>
      <c r="L115" s="96" t="n"/>
      <c r="M115" s="96" t="n"/>
      <c r="N115" s="96" t="n"/>
      <c r="O115" s="96" t="n"/>
      <c r="P115" s="96" t="n"/>
      <c r="Q115" s="96" t="n"/>
      <c r="R115" s="96" t="n"/>
      <c r="S115" s="96" t="n"/>
      <c r="T115" s="96" t="n"/>
      <c r="U115" s="96" t="n"/>
      <c r="V115" s="96" t="n"/>
      <c r="W115" s="96" t="n"/>
      <c r="X115" s="96" t="n"/>
      <c r="Y115" s="96" t="n"/>
      <c r="Z115" s="96" t="n"/>
      <c r="AA115" s="96" t="n"/>
      <c r="AB115" s="96" t="n"/>
      <c r="AC115" s="96" t="n"/>
      <c r="AD115" s="96" t="n"/>
      <c r="AE115" s="96" t="n"/>
      <c r="AF115" s="96" t="n"/>
      <c r="AG115" s="96" t="n"/>
      <c r="AH115" s="96" t="n"/>
      <c r="AI115" s="96" t="n"/>
      <c r="AJ115" s="96" t="n"/>
      <c r="AK115" s="96" t="n"/>
      <c r="AL115" s="96" t="n"/>
      <c r="AM115" s="96" t="n"/>
      <c r="AN115" s="96" t="n"/>
    </row>
    <row r="116" hidden="1">
      <c r="A116" s="96" t="n"/>
      <c r="B116" s="96" t="n"/>
      <c r="C116" s="96" t="n"/>
      <c r="D116" s="96" t="n"/>
      <c r="E116" s="96" t="n"/>
      <c r="F116" s="96" t="n"/>
      <c r="G116" s="96" t="n"/>
      <c r="H116" s="96" t="n"/>
      <c r="I116" s="96" t="n"/>
      <c r="J116" s="96" t="n"/>
      <c r="K116" s="96" t="n"/>
      <c r="L116" s="96" t="n"/>
      <c r="M116" s="96" t="n"/>
      <c r="N116" s="96" t="n"/>
      <c r="O116" s="96" t="n"/>
      <c r="P116" s="96" t="n"/>
      <c r="Q116" s="96" t="n"/>
      <c r="R116" s="96" t="n"/>
      <c r="S116" s="96" t="n"/>
      <c r="T116" s="96" t="n"/>
      <c r="U116" s="96" t="n"/>
      <c r="V116" s="96" t="n"/>
      <c r="W116" s="96" t="n"/>
      <c r="X116" s="96" t="n"/>
      <c r="Y116" s="96" t="n"/>
      <c r="Z116" s="96" t="n"/>
      <c r="AA116" s="96" t="n"/>
      <c r="AB116" s="96" t="n"/>
      <c r="AC116" s="96" t="n"/>
      <c r="AD116" s="96" t="n"/>
      <c r="AE116" s="96" t="n"/>
      <c r="AF116" s="96" t="n"/>
      <c r="AG116" s="96" t="n"/>
      <c r="AH116" s="96" t="n"/>
      <c r="AI116" s="96" t="n"/>
      <c r="AJ116" s="96" t="n"/>
      <c r="AK116" s="96" t="n"/>
      <c r="AL116" s="96" t="n"/>
      <c r="AM116" s="96" t="n"/>
      <c r="AN116" s="96" t="n"/>
    </row>
    <row r="117" hidden="1">
      <c r="A117" s="96" t="n"/>
      <c r="B117" s="96" t="n"/>
      <c r="C117" s="96" t="n"/>
      <c r="D117" s="96" t="n"/>
      <c r="E117" s="96" t="n"/>
      <c r="F117" s="96" t="n"/>
      <c r="G117" s="96" t="n"/>
      <c r="H117" s="96" t="n"/>
      <c r="I117" s="96" t="n"/>
      <c r="J117" s="96" t="n"/>
      <c r="K117" s="96" t="n"/>
      <c r="L117" s="96" t="n"/>
      <c r="M117" s="96" t="n"/>
      <c r="N117" s="96" t="n"/>
      <c r="O117" s="96" t="n"/>
      <c r="P117" s="96" t="n"/>
      <c r="Q117" s="96" t="n"/>
      <c r="R117" s="96" t="n"/>
      <c r="S117" s="96" t="n"/>
      <c r="T117" s="96" t="n"/>
      <c r="U117" s="96" t="n"/>
      <c r="V117" s="96" t="n"/>
      <c r="W117" s="96" t="n"/>
      <c r="X117" s="96" t="n"/>
      <c r="Y117" s="96" t="n"/>
      <c r="Z117" s="96" t="n"/>
      <c r="AA117" s="96" t="n"/>
      <c r="AB117" s="96" t="n"/>
      <c r="AC117" s="96" t="n"/>
      <c r="AD117" s="96" t="n"/>
      <c r="AE117" s="96" t="n"/>
      <c r="AF117" s="96" t="n"/>
      <c r="AG117" s="96" t="n"/>
      <c r="AH117" s="96" t="n"/>
      <c r="AI117" s="96" t="n"/>
      <c r="AJ117" s="96" t="n"/>
      <c r="AK117" s="96" t="n"/>
      <c r="AL117" s="96" t="n"/>
      <c r="AM117" s="96" t="n"/>
      <c r="AN117" s="96" t="n"/>
    </row>
    <row r="118" hidden="1">
      <c r="A118" s="96" t="n"/>
      <c r="B118" s="96" t="n"/>
      <c r="C118" s="96" t="n"/>
      <c r="D118" s="96" t="n"/>
      <c r="E118" s="96" t="n"/>
      <c r="F118" s="96" t="n"/>
      <c r="G118" s="96" t="n"/>
      <c r="H118" s="96" t="n"/>
      <c r="I118" s="96" t="n"/>
      <c r="J118" s="96" t="n"/>
      <c r="K118" s="96" t="n"/>
      <c r="L118" s="96" t="n"/>
      <c r="M118" s="96" t="n"/>
      <c r="N118" s="96" t="n"/>
      <c r="O118" s="96" t="n"/>
      <c r="P118" s="96" t="n"/>
      <c r="Q118" s="96" t="n"/>
      <c r="R118" s="96" t="n"/>
      <c r="S118" s="96" t="n"/>
      <c r="T118" s="96" t="n"/>
      <c r="U118" s="96" t="n"/>
      <c r="V118" s="96" t="n"/>
      <c r="W118" s="96" t="n"/>
      <c r="X118" s="96" t="n"/>
      <c r="Y118" s="96" t="n"/>
      <c r="Z118" s="96" t="n"/>
      <c r="AA118" s="96" t="n"/>
      <c r="AB118" s="96" t="n"/>
      <c r="AC118" s="96" t="n"/>
      <c r="AD118" s="96" t="n"/>
      <c r="AE118" s="96" t="n"/>
      <c r="AF118" s="96" t="n"/>
      <c r="AG118" s="96" t="n"/>
      <c r="AH118" s="96" t="n"/>
      <c r="AI118" s="96" t="n"/>
      <c r="AJ118" s="96" t="n"/>
      <c r="AK118" s="96" t="n"/>
      <c r="AL118" s="96" t="n"/>
      <c r="AM118" s="96" t="n"/>
      <c r="AN118" s="96" t="n"/>
    </row>
    <row r="119" hidden="1">
      <c r="A119" s="96" t="n"/>
      <c r="B119" s="96" t="n"/>
      <c r="C119" s="96" t="n"/>
      <c r="D119" s="96" t="n"/>
      <c r="E119" s="96" t="n"/>
      <c r="F119" s="96" t="n"/>
      <c r="G119" s="96" t="n"/>
      <c r="H119" s="96" t="n"/>
      <c r="I119" s="96" t="n"/>
      <c r="J119" s="96" t="n"/>
      <c r="K119" s="96" t="n"/>
      <c r="L119" s="96" t="n"/>
      <c r="M119" s="96" t="n"/>
      <c r="N119" s="96" t="n"/>
      <c r="O119" s="96" t="n"/>
      <c r="P119" s="96" t="n"/>
      <c r="Q119" s="96" t="n"/>
      <c r="R119" s="96" t="n"/>
      <c r="S119" s="96" t="n"/>
      <c r="T119" s="96" t="n"/>
      <c r="U119" s="96" t="n"/>
      <c r="V119" s="96" t="n"/>
      <c r="W119" s="96" t="n"/>
      <c r="X119" s="96" t="n"/>
      <c r="Y119" s="96" t="n"/>
      <c r="Z119" s="96" t="n"/>
      <c r="AA119" s="96" t="n"/>
      <c r="AB119" s="96" t="n"/>
      <c r="AC119" s="96" t="n"/>
      <c r="AD119" s="96" t="n"/>
      <c r="AE119" s="96" t="n"/>
      <c r="AF119" s="96" t="n"/>
      <c r="AG119" s="96" t="n"/>
      <c r="AH119" s="96" t="n"/>
      <c r="AI119" s="96" t="n"/>
      <c r="AJ119" s="96" t="n"/>
      <c r="AK119" s="96" t="n"/>
      <c r="AL119" s="96" t="n"/>
      <c r="AM119" s="96" t="n"/>
      <c r="AN119" s="96" t="n"/>
    </row>
    <row r="120" hidden="1">
      <c r="A120" s="96" t="n"/>
      <c r="B120" s="96" t="n"/>
      <c r="C120" s="96" t="n"/>
      <c r="D120" s="96" t="n"/>
      <c r="E120" s="96" t="n"/>
      <c r="F120" s="96" t="n"/>
      <c r="G120" s="96" t="n"/>
      <c r="H120" s="96" t="n"/>
      <c r="I120" s="96" t="n"/>
      <c r="J120" s="96" t="n"/>
      <c r="K120" s="96" t="n"/>
      <c r="L120" s="96" t="n"/>
      <c r="M120" s="96" t="n"/>
      <c r="N120" s="96" t="n"/>
      <c r="O120" s="96" t="n"/>
      <c r="P120" s="96" t="n"/>
      <c r="Q120" s="96" t="n"/>
      <c r="R120" s="96" t="n"/>
      <c r="S120" s="96" t="n"/>
      <c r="T120" s="96" t="n"/>
      <c r="U120" s="96" t="n"/>
      <c r="V120" s="96" t="n"/>
      <c r="W120" s="96" t="n"/>
      <c r="X120" s="96" t="n"/>
      <c r="Y120" s="96" t="n"/>
      <c r="Z120" s="96" t="n"/>
      <c r="AA120" s="96" t="n"/>
      <c r="AB120" s="96" t="n"/>
      <c r="AC120" s="96" t="n"/>
      <c r="AD120" s="96" t="n"/>
      <c r="AE120" s="96" t="n"/>
      <c r="AF120" s="96" t="n"/>
      <c r="AG120" s="96" t="n"/>
      <c r="AH120" s="96" t="n"/>
      <c r="AI120" s="96" t="n"/>
      <c r="AJ120" s="96" t="n"/>
      <c r="AK120" s="96" t="n"/>
      <c r="AL120" s="96" t="n"/>
      <c r="AM120" s="96" t="n"/>
      <c r="AN120" s="96" t="n"/>
    </row>
    <row r="121" hidden="1">
      <c r="A121" s="96" t="n"/>
      <c r="B121" s="96" t="n"/>
      <c r="C121" s="96" t="n"/>
      <c r="D121" s="96" t="n"/>
      <c r="E121" s="96" t="n"/>
      <c r="F121" s="96" t="n"/>
      <c r="G121" s="96" t="n"/>
      <c r="H121" s="96" t="n"/>
      <c r="I121" s="96" t="n"/>
      <c r="J121" s="96" t="n"/>
      <c r="K121" s="96" t="n"/>
      <c r="L121" s="96" t="n"/>
      <c r="M121" s="96" t="n"/>
      <c r="N121" s="96" t="n"/>
      <c r="O121" s="96" t="n"/>
      <c r="P121" s="96" t="n"/>
      <c r="Q121" s="96" t="n"/>
      <c r="R121" s="96" t="n"/>
      <c r="S121" s="96" t="n"/>
      <c r="T121" s="96" t="n"/>
      <c r="U121" s="96" t="n"/>
      <c r="V121" s="96" t="n"/>
      <c r="W121" s="96" t="n"/>
      <c r="X121" s="96" t="n"/>
      <c r="Y121" s="96" t="n"/>
      <c r="Z121" s="96" t="n"/>
      <c r="AA121" s="96" t="n"/>
      <c r="AB121" s="96" t="n"/>
      <c r="AC121" s="96" t="n"/>
      <c r="AD121" s="96" t="n"/>
      <c r="AE121" s="96" t="n"/>
      <c r="AF121" s="96" t="n"/>
      <c r="AG121" s="96" t="n"/>
      <c r="AH121" s="96" t="n"/>
      <c r="AI121" s="96" t="n"/>
      <c r="AJ121" s="96" t="n"/>
      <c r="AK121" s="96" t="n"/>
      <c r="AL121" s="96" t="n"/>
      <c r="AM121" s="96" t="n"/>
      <c r="AN121" s="96" t="n"/>
    </row>
    <row r="122" hidden="1">
      <c r="A122" s="96" t="n"/>
      <c r="B122" s="96" t="n"/>
      <c r="C122" s="96" t="n"/>
      <c r="D122" s="96" t="n"/>
      <c r="E122" s="96" t="n"/>
      <c r="F122" s="96" t="n"/>
      <c r="G122" s="96" t="n"/>
      <c r="H122" s="96" t="n"/>
      <c r="I122" s="96" t="n"/>
      <c r="J122" s="96" t="n"/>
      <c r="K122" s="96" t="n"/>
      <c r="L122" s="96" t="n"/>
      <c r="M122" s="96" t="n"/>
      <c r="N122" s="96" t="n"/>
      <c r="O122" s="96" t="n"/>
      <c r="P122" s="96" t="n"/>
      <c r="Q122" s="96" t="n"/>
      <c r="R122" s="96" t="n"/>
      <c r="S122" s="96" t="n"/>
      <c r="T122" s="96" t="n"/>
      <c r="U122" s="96" t="n"/>
      <c r="V122" s="96" t="n"/>
      <c r="W122" s="96" t="n"/>
      <c r="X122" s="96" t="n"/>
      <c r="Y122" s="96" t="n"/>
      <c r="Z122" s="96" t="n"/>
      <c r="AA122" s="96" t="n"/>
      <c r="AB122" s="96" t="n"/>
      <c r="AC122" s="96" t="n"/>
      <c r="AD122" s="96" t="n"/>
      <c r="AE122" s="96" t="n"/>
      <c r="AF122" s="96" t="n"/>
      <c r="AG122" s="96" t="n"/>
      <c r="AH122" s="96" t="n"/>
      <c r="AI122" s="96" t="n"/>
      <c r="AJ122" s="96" t="n"/>
      <c r="AK122" s="96" t="n"/>
      <c r="AL122" s="96" t="n"/>
      <c r="AM122" s="96" t="n"/>
      <c r="AN122" s="96" t="n"/>
    </row>
    <row r="123" hidden="1">
      <c r="A123" s="96" t="n"/>
      <c r="B123" s="96" t="n"/>
      <c r="C123" s="96" t="n"/>
      <c r="D123" s="96" t="n"/>
      <c r="E123" s="96" t="n"/>
      <c r="F123" s="96" t="n"/>
      <c r="G123" s="96" t="n"/>
      <c r="H123" s="96" t="n"/>
      <c r="I123" s="96" t="n"/>
      <c r="J123" s="96" t="n"/>
      <c r="K123" s="96" t="n"/>
      <c r="L123" s="96" t="n"/>
      <c r="M123" s="96" t="n"/>
      <c r="N123" s="96" t="n"/>
      <c r="O123" s="96" t="n"/>
      <c r="P123" s="96" t="n"/>
      <c r="Q123" s="96" t="n"/>
      <c r="R123" s="96" t="n"/>
      <c r="S123" s="96" t="n"/>
      <c r="T123" s="96" t="n"/>
      <c r="U123" s="96" t="n"/>
      <c r="V123" s="96" t="n"/>
      <c r="W123" s="96" t="n"/>
      <c r="X123" s="96" t="n"/>
      <c r="Y123" s="96" t="n"/>
      <c r="Z123" s="96" t="n"/>
      <c r="AA123" s="96" t="n"/>
      <c r="AB123" s="96" t="n"/>
      <c r="AC123" s="96" t="n"/>
      <c r="AD123" s="96" t="n"/>
      <c r="AE123" s="96" t="n"/>
      <c r="AF123" s="96" t="n"/>
      <c r="AG123" s="96" t="n"/>
      <c r="AH123" s="96" t="n"/>
      <c r="AI123" s="96" t="n"/>
      <c r="AJ123" s="96" t="n"/>
      <c r="AK123" s="96" t="n"/>
      <c r="AL123" s="96" t="n"/>
      <c r="AM123" s="96" t="n"/>
      <c r="AN123" s="96" t="n"/>
    </row>
    <row r="124" hidden="1">
      <c r="A124" s="96" t="n"/>
      <c r="B124" s="96" t="n"/>
      <c r="C124" s="96" t="n"/>
      <c r="D124" s="96" t="n"/>
      <c r="E124" s="96" t="n"/>
      <c r="F124" s="96" t="n"/>
      <c r="G124" s="96" t="n"/>
      <c r="H124" s="96" t="n"/>
      <c r="I124" s="96" t="n"/>
      <c r="J124" s="96" t="n"/>
      <c r="K124" s="96" t="n"/>
      <c r="L124" s="96" t="n"/>
      <c r="M124" s="96" t="n"/>
      <c r="N124" s="96" t="n"/>
      <c r="O124" s="96" t="n"/>
      <c r="P124" s="96" t="n"/>
      <c r="Q124" s="96" t="n"/>
      <c r="R124" s="96" t="n"/>
      <c r="S124" s="96" t="n"/>
      <c r="T124" s="96" t="n"/>
      <c r="U124" s="96" t="n"/>
      <c r="V124" s="96" t="n"/>
      <c r="W124" s="96" t="n"/>
      <c r="X124" s="96" t="n"/>
      <c r="Y124" s="96" t="n"/>
      <c r="Z124" s="96" t="n"/>
      <c r="AA124" s="96" t="n"/>
      <c r="AB124" s="96" t="n"/>
      <c r="AC124" s="96" t="n"/>
      <c r="AD124" s="96" t="n"/>
      <c r="AE124" s="96" t="n"/>
      <c r="AF124" s="96" t="n"/>
      <c r="AG124" s="96" t="n"/>
      <c r="AH124" s="96" t="n"/>
      <c r="AI124" s="96" t="n"/>
      <c r="AJ124" s="96" t="n"/>
      <c r="AK124" s="96" t="n"/>
      <c r="AL124" s="96" t="n"/>
      <c r="AM124" s="96" t="n"/>
      <c r="AN124" s="96" t="n"/>
    </row>
    <row r="125" hidden="1">
      <c r="A125" s="96" t="n"/>
      <c r="B125" s="96" t="n"/>
      <c r="C125" s="96" t="n"/>
      <c r="D125" s="96" t="n"/>
      <c r="E125" s="96" t="n"/>
      <c r="F125" s="96" t="n"/>
      <c r="G125" s="96" t="n"/>
      <c r="H125" s="96" t="n"/>
      <c r="I125" s="96" t="n"/>
      <c r="J125" s="96" t="n"/>
      <c r="K125" s="96" t="n"/>
      <c r="L125" s="96" t="n"/>
      <c r="M125" s="96" t="n"/>
      <c r="N125" s="96" t="n"/>
      <c r="O125" s="96" t="n"/>
      <c r="P125" s="96" t="n"/>
      <c r="Q125" s="96" t="n"/>
      <c r="R125" s="96" t="n"/>
      <c r="S125" s="96" t="n"/>
      <c r="T125" s="96" t="n"/>
      <c r="U125" s="96" t="n"/>
      <c r="V125" s="96" t="n"/>
      <c r="W125" s="96" t="n"/>
      <c r="X125" s="96" t="n"/>
      <c r="Y125" s="96" t="n"/>
      <c r="Z125" s="96" t="n"/>
      <c r="AA125" s="96" t="n"/>
      <c r="AB125" s="96" t="n"/>
      <c r="AC125" s="96" t="n"/>
      <c r="AD125" s="96" t="n"/>
      <c r="AE125" s="96" t="n"/>
      <c r="AF125" s="96" t="n"/>
      <c r="AG125" s="96" t="n"/>
      <c r="AH125" s="96" t="n"/>
      <c r="AI125" s="96" t="n"/>
      <c r="AJ125" s="96" t="n"/>
      <c r="AK125" s="96" t="n"/>
      <c r="AL125" s="96" t="n"/>
      <c r="AM125" s="96" t="n"/>
      <c r="AN125" s="96" t="n"/>
    </row>
    <row r="126" hidden="1">
      <c r="A126" s="96" t="n"/>
      <c r="B126" s="96" t="n"/>
      <c r="C126" s="96" t="n"/>
      <c r="D126" s="96" t="n"/>
      <c r="E126" s="96" t="n"/>
      <c r="F126" s="96" t="n"/>
      <c r="G126" s="96" t="n"/>
      <c r="H126" s="96" t="n"/>
      <c r="I126" s="96" t="n"/>
      <c r="J126" s="96" t="n"/>
      <c r="K126" s="96" t="n"/>
      <c r="L126" s="96" t="n"/>
      <c r="M126" s="96" t="n"/>
      <c r="N126" s="96" t="n"/>
      <c r="O126" s="96" t="n"/>
      <c r="P126" s="96" t="n"/>
      <c r="Q126" s="96" t="n"/>
      <c r="R126" s="96" t="n"/>
      <c r="S126" s="96" t="n"/>
      <c r="T126" s="96" t="n"/>
      <c r="U126" s="96" t="n"/>
      <c r="V126" s="96" t="n"/>
      <c r="W126" s="96" t="n"/>
      <c r="X126" s="96" t="n"/>
      <c r="Y126" s="96" t="n"/>
      <c r="Z126" s="96" t="n"/>
      <c r="AA126" s="96" t="n"/>
      <c r="AB126" s="96" t="n"/>
      <c r="AC126" s="96" t="n"/>
      <c r="AD126" s="96" t="n"/>
      <c r="AE126" s="96" t="n"/>
      <c r="AF126" s="96" t="n"/>
      <c r="AG126" s="96" t="n"/>
      <c r="AH126" s="96" t="n"/>
      <c r="AI126" s="96" t="n"/>
      <c r="AJ126" s="96" t="n"/>
      <c r="AK126" s="96" t="n"/>
      <c r="AL126" s="96" t="n"/>
      <c r="AM126" s="96" t="n"/>
      <c r="AN126" s="96" t="n"/>
    </row>
    <row r="127" hidden="1">
      <c r="A127" s="96" t="n"/>
      <c r="B127" s="96" t="n"/>
      <c r="C127" s="96" t="n"/>
      <c r="D127" s="96" t="n"/>
      <c r="E127" s="96" t="n"/>
      <c r="F127" s="96" t="n"/>
      <c r="G127" s="96" t="n"/>
      <c r="H127" s="96" t="n"/>
      <c r="I127" s="96" t="n"/>
      <c r="J127" s="96" t="n"/>
      <c r="K127" s="96" t="n"/>
      <c r="L127" s="96" t="n"/>
      <c r="M127" s="96" t="n"/>
      <c r="N127" s="96" t="n"/>
      <c r="O127" s="96" t="n"/>
      <c r="P127" s="96" t="n"/>
      <c r="Q127" s="96" t="n"/>
      <c r="R127" s="96" t="n"/>
      <c r="S127" s="96" t="n"/>
      <c r="T127" s="96" t="n"/>
      <c r="U127" s="96" t="n"/>
      <c r="V127" s="96" t="n"/>
      <c r="W127" s="96" t="n"/>
      <c r="X127" s="96" t="n"/>
      <c r="Y127" s="96" t="n"/>
      <c r="Z127" s="96" t="n"/>
      <c r="AA127" s="96" t="n"/>
      <c r="AB127" s="96" t="n"/>
      <c r="AC127" s="96" t="n"/>
      <c r="AD127" s="96" t="n"/>
      <c r="AE127" s="96" t="n"/>
      <c r="AF127" s="96" t="n"/>
      <c r="AG127" s="96" t="n"/>
      <c r="AH127" s="96" t="n"/>
      <c r="AI127" s="96" t="n"/>
      <c r="AJ127" s="96" t="n"/>
      <c r="AK127" s="96" t="n"/>
      <c r="AL127" s="96" t="n"/>
      <c r="AM127" s="96" t="n"/>
      <c r="AN127" s="96" t="n"/>
    </row>
    <row r="128" hidden="1">
      <c r="A128" s="96" t="n"/>
      <c r="B128" s="96" t="n"/>
      <c r="C128" s="96" t="n"/>
      <c r="D128" s="96" t="n"/>
      <c r="E128" s="96" t="n"/>
      <c r="F128" s="96" t="n"/>
      <c r="G128" s="96" t="n"/>
      <c r="H128" s="96" t="n"/>
      <c r="I128" s="96" t="n"/>
      <c r="J128" s="96" t="n"/>
      <c r="K128" s="96" t="n"/>
      <c r="L128" s="96" t="n"/>
      <c r="M128" s="96" t="n"/>
      <c r="N128" s="96" t="n"/>
      <c r="O128" s="96" t="n"/>
      <c r="P128" s="96" t="n"/>
      <c r="Q128" s="96" t="n"/>
      <c r="R128" s="96" t="n"/>
      <c r="S128" s="96" t="n"/>
      <c r="T128" s="96" t="n"/>
      <c r="U128" s="96" t="n"/>
      <c r="V128" s="96" t="n"/>
      <c r="W128" s="96" t="n"/>
      <c r="X128" s="96" t="n"/>
      <c r="Y128" s="96" t="n"/>
      <c r="Z128" s="96" t="n"/>
      <c r="AA128" s="96" t="n"/>
      <c r="AB128" s="96" t="n"/>
      <c r="AC128" s="96" t="n"/>
      <c r="AD128" s="96" t="n"/>
      <c r="AE128" s="96" t="n"/>
      <c r="AF128" s="96" t="n"/>
      <c r="AG128" s="96" t="n"/>
      <c r="AH128" s="96" t="n"/>
      <c r="AI128" s="96" t="n"/>
      <c r="AJ128" s="96" t="n"/>
      <c r="AK128" s="96" t="n"/>
      <c r="AL128" s="96" t="n"/>
      <c r="AM128" s="96" t="n"/>
      <c r="AN128" s="96" t="n"/>
    </row>
    <row r="129" hidden="1">
      <c r="A129" s="96" t="n"/>
      <c r="B129" s="96" t="n"/>
      <c r="C129" s="96" t="n"/>
      <c r="D129" s="96" t="n"/>
      <c r="E129" s="96" t="n"/>
      <c r="F129" s="96" t="n"/>
      <c r="G129" s="96" t="n"/>
      <c r="H129" s="96" t="n"/>
      <c r="I129" s="96" t="n"/>
      <c r="J129" s="96" t="n"/>
      <c r="K129" s="96" t="n"/>
      <c r="L129" s="96" t="n"/>
      <c r="M129" s="96" t="n"/>
      <c r="N129" s="96" t="n"/>
      <c r="O129" s="96" t="n"/>
      <c r="P129" s="96" t="n"/>
      <c r="Q129" s="96" t="n"/>
      <c r="R129" s="96" t="n"/>
      <c r="S129" s="96" t="n"/>
      <c r="T129" s="96" t="n"/>
      <c r="U129" s="96" t="n"/>
      <c r="V129" s="96" t="n"/>
      <c r="W129" s="96" t="n"/>
      <c r="X129" s="96" t="n"/>
      <c r="Y129" s="96" t="n"/>
      <c r="Z129" s="96" t="n"/>
      <c r="AA129" s="96" t="n"/>
      <c r="AB129" s="96" t="n"/>
      <c r="AC129" s="96" t="n"/>
      <c r="AD129" s="96" t="n"/>
      <c r="AE129" s="96" t="n"/>
      <c r="AF129" s="96" t="n"/>
      <c r="AG129" s="96" t="n"/>
      <c r="AH129" s="96" t="n"/>
      <c r="AI129" s="96" t="n"/>
      <c r="AJ129" s="96" t="n"/>
      <c r="AK129" s="96" t="n"/>
      <c r="AL129" s="96" t="n"/>
      <c r="AM129" s="96" t="n"/>
      <c r="AN129" s="96" t="n"/>
    </row>
    <row r="130" hidden="1">
      <c r="A130" s="96" t="n"/>
      <c r="B130" s="96" t="n"/>
      <c r="C130" s="96" t="n"/>
      <c r="D130" s="96" t="n"/>
      <c r="E130" s="96" t="n"/>
      <c r="F130" s="96" t="n"/>
      <c r="G130" s="96" t="n"/>
      <c r="H130" s="96" t="n"/>
      <c r="I130" s="96" t="n"/>
      <c r="J130" s="96" t="n"/>
      <c r="K130" s="96" t="n"/>
      <c r="L130" s="96" t="n"/>
      <c r="M130" s="96" t="n"/>
      <c r="N130" s="96" t="n"/>
      <c r="O130" s="96" t="n"/>
      <c r="P130" s="96" t="n"/>
      <c r="Q130" s="96" t="n"/>
      <c r="R130" s="96" t="n"/>
      <c r="S130" s="96" t="n"/>
      <c r="T130" s="96" t="n"/>
      <c r="U130" s="96" t="n"/>
      <c r="V130" s="96" t="n"/>
      <c r="W130" s="96" t="n"/>
      <c r="X130" s="96" t="n"/>
      <c r="Y130" s="96" t="n"/>
      <c r="Z130" s="96" t="n"/>
      <c r="AA130" s="96" t="n"/>
      <c r="AB130" s="96" t="n"/>
      <c r="AC130" s="96" t="n"/>
      <c r="AD130" s="96" t="n"/>
      <c r="AE130" s="96" t="n"/>
      <c r="AF130" s="96" t="n"/>
      <c r="AG130" s="96" t="n"/>
      <c r="AH130" s="96" t="n"/>
      <c r="AI130" s="96" t="n"/>
      <c r="AJ130" s="96" t="n"/>
      <c r="AK130" s="96" t="n"/>
      <c r="AL130" s="96" t="n"/>
      <c r="AM130" s="96" t="n"/>
      <c r="AN130" s="96" t="n"/>
    </row>
    <row r="131" hidden="1">
      <c r="A131" s="96" t="n"/>
      <c r="B131" s="96" t="n"/>
      <c r="C131" s="96" t="n"/>
      <c r="D131" s="96" t="n"/>
      <c r="E131" s="96" t="n"/>
      <c r="F131" s="96" t="n"/>
      <c r="G131" s="96" t="n"/>
      <c r="H131" s="96" t="n"/>
      <c r="I131" s="96" t="n"/>
      <c r="J131" s="96" t="n"/>
      <c r="K131" s="96" t="n"/>
      <c r="L131" s="96" t="n"/>
      <c r="M131" s="96" t="n"/>
      <c r="N131" s="96" t="n"/>
      <c r="O131" s="96" t="n"/>
      <c r="P131" s="96" t="n"/>
      <c r="Q131" s="96" t="n"/>
      <c r="R131" s="96" t="n"/>
      <c r="S131" s="96" t="n"/>
      <c r="T131" s="96" t="n"/>
      <c r="U131" s="96" t="n"/>
      <c r="V131" s="96" t="n"/>
      <c r="W131" s="96" t="n"/>
      <c r="X131" s="96" t="n"/>
      <c r="Y131" s="96" t="n"/>
      <c r="Z131" s="96" t="n"/>
      <c r="AA131" s="96" t="n"/>
      <c r="AB131" s="96" t="n"/>
      <c r="AC131" s="96" t="n"/>
      <c r="AD131" s="96" t="n"/>
      <c r="AE131" s="96" t="n"/>
      <c r="AF131" s="96" t="n"/>
      <c r="AG131" s="96" t="n"/>
      <c r="AH131" s="96" t="n"/>
      <c r="AI131" s="96" t="n"/>
      <c r="AJ131" s="96" t="n"/>
      <c r="AK131" s="96" t="n"/>
      <c r="AL131" s="96" t="n"/>
      <c r="AM131" s="96" t="n"/>
      <c r="AN131" s="96" t="n"/>
    </row>
    <row r="132" hidden="1">
      <c r="A132" s="96" t="n"/>
      <c r="B132" s="96" t="n"/>
      <c r="C132" s="96" t="n"/>
      <c r="D132" s="96" t="n"/>
      <c r="E132" s="96" t="n"/>
      <c r="F132" s="96" t="n"/>
      <c r="G132" s="96" t="n"/>
      <c r="H132" s="96" t="n"/>
      <c r="I132" s="96" t="n"/>
      <c r="J132" s="96" t="n"/>
      <c r="K132" s="96" t="n"/>
      <c r="L132" s="96" t="n"/>
      <c r="M132" s="96" t="n"/>
      <c r="N132" s="96" t="n"/>
      <c r="O132" s="96" t="n"/>
      <c r="P132" s="96" t="n"/>
      <c r="Q132" s="96" t="n"/>
      <c r="R132" s="96" t="n"/>
      <c r="S132" s="96" t="n"/>
      <c r="T132" s="96" t="n"/>
      <c r="U132" s="96" t="n"/>
      <c r="V132" s="96" t="n"/>
      <c r="W132" s="96" t="n"/>
      <c r="X132" s="96" t="n"/>
      <c r="Y132" s="96" t="n"/>
      <c r="Z132" s="96" t="n"/>
      <c r="AA132" s="96" t="n"/>
      <c r="AB132" s="96" t="n"/>
      <c r="AC132" s="96" t="n"/>
      <c r="AD132" s="96" t="n"/>
      <c r="AE132" s="96" t="n"/>
      <c r="AF132" s="96" t="n"/>
      <c r="AG132" s="96" t="n"/>
      <c r="AH132" s="96" t="n"/>
      <c r="AI132" s="96" t="n"/>
      <c r="AJ132" s="96" t="n"/>
      <c r="AK132" s="96" t="n"/>
      <c r="AL132" s="96" t="n"/>
      <c r="AM132" s="96" t="n"/>
      <c r="AN132" s="96" t="n"/>
    </row>
    <row r="133" hidden="1">
      <c r="A133" s="96" t="n"/>
      <c r="B133" s="96" t="n"/>
      <c r="C133" s="96" t="n"/>
      <c r="D133" s="96" t="n"/>
      <c r="E133" s="96" t="n"/>
      <c r="F133" s="96" t="n"/>
      <c r="G133" s="96" t="n"/>
      <c r="H133" s="96" t="n"/>
      <c r="I133" s="96" t="n"/>
      <c r="J133" s="96" t="n"/>
      <c r="K133" s="96" t="n"/>
      <c r="L133" s="96" t="n"/>
      <c r="M133" s="96" t="n"/>
      <c r="N133" s="96" t="n"/>
      <c r="O133" s="96" t="n"/>
      <c r="P133" s="96" t="n"/>
      <c r="Q133" s="96" t="n"/>
      <c r="R133" s="96" t="n"/>
      <c r="S133" s="96" t="n"/>
      <c r="T133" s="96" t="n"/>
      <c r="U133" s="96" t="n"/>
      <c r="V133" s="96" t="n"/>
      <c r="W133" s="96" t="n"/>
      <c r="X133" s="96" t="n"/>
      <c r="Y133" s="96" t="n"/>
      <c r="Z133" s="96" t="n"/>
      <c r="AA133" s="96" t="n"/>
      <c r="AB133" s="96" t="n"/>
      <c r="AC133" s="96" t="n"/>
      <c r="AD133" s="96" t="n"/>
      <c r="AE133" s="96" t="n"/>
      <c r="AF133" s="96" t="n"/>
      <c r="AG133" s="96" t="n"/>
      <c r="AH133" s="96" t="n"/>
      <c r="AI133" s="96" t="n"/>
      <c r="AJ133" s="96" t="n"/>
      <c r="AK133" s="96" t="n"/>
      <c r="AL133" s="96" t="n"/>
      <c r="AM133" s="96" t="n"/>
      <c r="AN133" s="96" t="n"/>
    </row>
    <row r="134" hidden="1">
      <c r="A134" s="96" t="n"/>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row>
    <row r="135" hidden="1">
      <c r="A135" s="96" t="n"/>
      <c r="B135" s="96" t="n"/>
      <c r="C135" s="96" t="n"/>
      <c r="D135" s="96" t="n"/>
      <c r="E135" s="96" t="n"/>
      <c r="F135" s="96" t="n"/>
      <c r="G135" s="96" t="n"/>
      <c r="H135" s="96" t="n"/>
      <c r="I135" s="96" t="n"/>
      <c r="J135" s="96" t="n"/>
      <c r="K135" s="96" t="n"/>
      <c r="L135" s="96" t="n"/>
      <c r="M135" s="96" t="n"/>
      <c r="N135" s="96" t="n"/>
      <c r="O135" s="96" t="n"/>
      <c r="P135" s="96" t="n"/>
      <c r="Q135" s="96" t="n"/>
      <c r="R135" s="96" t="n"/>
      <c r="S135" s="96" t="n"/>
      <c r="T135" s="96" t="n"/>
      <c r="U135" s="96" t="n"/>
      <c r="V135" s="96" t="n"/>
      <c r="W135" s="96" t="n"/>
      <c r="X135" s="96" t="n"/>
      <c r="Y135" s="96" t="n"/>
      <c r="Z135" s="96" t="n"/>
      <c r="AA135" s="96" t="n"/>
      <c r="AB135" s="96" t="n"/>
      <c r="AC135" s="96" t="n"/>
      <c r="AD135" s="96" t="n"/>
      <c r="AE135" s="96" t="n"/>
      <c r="AF135" s="96" t="n"/>
      <c r="AG135" s="96" t="n"/>
      <c r="AH135" s="96" t="n"/>
      <c r="AI135" s="96" t="n"/>
      <c r="AJ135" s="96" t="n"/>
      <c r="AK135" s="96" t="n"/>
      <c r="AL135" s="96" t="n"/>
      <c r="AM135" s="96" t="n"/>
      <c r="AN135" s="96" t="n"/>
    </row>
    <row r="136" hidden="1">
      <c r="A136" s="96" t="n"/>
      <c r="B136" s="96" t="n"/>
      <c r="C136" s="96" t="n"/>
      <c r="D136" s="96" t="n"/>
      <c r="E136" s="96" t="n"/>
      <c r="F136" s="96" t="n"/>
      <c r="G136" s="96" t="n"/>
      <c r="H136" s="96" t="n"/>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row>
    <row r="137" hidden="1">
      <c r="A137" s="96" t="n"/>
      <c r="B137" s="96" t="n"/>
      <c r="C137" s="96" t="n"/>
      <c r="D137" s="96" t="n"/>
      <c r="E137" s="96" t="n"/>
      <c r="F137" s="96" t="n"/>
      <c r="G137" s="96" t="n"/>
      <c r="H137" s="96" t="n"/>
      <c r="I137" s="96" t="n"/>
      <c r="J137" s="96" t="n"/>
      <c r="K137" s="96" t="n"/>
      <c r="L137" s="96" t="n"/>
      <c r="M137" s="96" t="n"/>
      <c r="N137" s="96" t="n"/>
      <c r="O137" s="96" t="n"/>
      <c r="P137" s="96" t="n"/>
      <c r="Q137" s="96" t="n"/>
      <c r="R137" s="96" t="n"/>
      <c r="S137" s="96" t="n"/>
      <c r="T137" s="96" t="n"/>
      <c r="U137" s="96" t="n"/>
      <c r="V137" s="96" t="n"/>
      <c r="W137" s="96" t="n"/>
      <c r="X137" s="96" t="n"/>
      <c r="Y137" s="96" t="n"/>
      <c r="Z137" s="96" t="n"/>
      <c r="AA137" s="96" t="n"/>
      <c r="AB137" s="96" t="n"/>
      <c r="AC137" s="96" t="n"/>
      <c r="AD137" s="96" t="n"/>
      <c r="AE137" s="96" t="n"/>
      <c r="AF137" s="96" t="n"/>
      <c r="AG137" s="96" t="n"/>
      <c r="AH137" s="96" t="n"/>
      <c r="AI137" s="96" t="n"/>
      <c r="AJ137" s="96" t="n"/>
      <c r="AK137" s="96" t="n"/>
      <c r="AL137" s="96" t="n"/>
      <c r="AM137" s="96" t="n"/>
      <c r="AN137" s="96" t="n"/>
    </row>
    <row r="138" hidden="1">
      <c r="A138" s="96" t="n"/>
      <c r="B138" s="96" t="n"/>
      <c r="C138" s="96" t="n"/>
      <c r="D138" s="96" t="n"/>
      <c r="E138" s="96" t="n"/>
      <c r="F138" s="96" t="n"/>
      <c r="G138" s="96" t="n"/>
      <c r="H138" s="96" t="n"/>
      <c r="I138" s="96" t="n"/>
      <c r="J138" s="96" t="n"/>
      <c r="K138" s="96" t="n"/>
      <c r="L138" s="96" t="n"/>
      <c r="M138" s="96" t="n"/>
      <c r="N138" s="96" t="n"/>
      <c r="O138" s="96" t="n"/>
      <c r="P138" s="96" t="n"/>
      <c r="Q138" s="96" t="n"/>
      <c r="R138" s="96" t="n"/>
      <c r="S138" s="96" t="n"/>
      <c r="T138" s="96" t="n"/>
      <c r="U138" s="96" t="n"/>
      <c r="V138" s="96" t="n"/>
      <c r="W138" s="96" t="n"/>
      <c r="X138" s="96" t="n"/>
      <c r="Y138" s="96" t="n"/>
      <c r="Z138" s="96" t="n"/>
      <c r="AA138" s="96" t="n"/>
      <c r="AB138" s="96" t="n"/>
      <c r="AC138" s="96" t="n"/>
      <c r="AD138" s="96" t="n"/>
      <c r="AE138" s="96" t="n"/>
      <c r="AF138" s="96" t="n"/>
      <c r="AG138" s="96" t="n"/>
      <c r="AH138" s="96" t="n"/>
      <c r="AI138" s="96" t="n"/>
      <c r="AJ138" s="96" t="n"/>
      <c r="AK138" s="96" t="n"/>
      <c r="AL138" s="96" t="n"/>
      <c r="AM138" s="96" t="n"/>
      <c r="AN138" s="96" t="n"/>
    </row>
    <row r="139" hidden="1">
      <c r="A139" s="96" t="n"/>
      <c r="B139" s="96" t="n"/>
      <c r="C139" s="96" t="n"/>
      <c r="D139" s="96" t="n"/>
      <c r="E139" s="96" t="n"/>
      <c r="F139" s="96" t="n"/>
      <c r="G139" s="96" t="n"/>
      <c r="H139" s="96" t="n"/>
      <c r="I139" s="96" t="n"/>
      <c r="J139" s="96" t="n"/>
      <c r="K139" s="96" t="n"/>
      <c r="L139" s="96" t="n"/>
      <c r="M139" s="96" t="n"/>
      <c r="N139" s="96" t="n"/>
      <c r="O139" s="96" t="n"/>
      <c r="P139" s="96" t="n"/>
      <c r="Q139" s="96" t="n"/>
      <c r="R139" s="96" t="n"/>
      <c r="S139" s="96" t="n"/>
      <c r="T139" s="96" t="n"/>
      <c r="U139" s="96" t="n"/>
      <c r="V139" s="96" t="n"/>
      <c r="W139" s="96" t="n"/>
      <c r="X139" s="96" t="n"/>
      <c r="Y139" s="96" t="n"/>
      <c r="Z139" s="96" t="n"/>
      <c r="AA139" s="96" t="n"/>
      <c r="AB139" s="96" t="n"/>
      <c r="AC139" s="96" t="n"/>
      <c r="AD139" s="96" t="n"/>
      <c r="AE139" s="96" t="n"/>
      <c r="AF139" s="96" t="n"/>
      <c r="AG139" s="96" t="n"/>
      <c r="AH139" s="96" t="n"/>
      <c r="AI139" s="96" t="n"/>
      <c r="AJ139" s="96" t="n"/>
      <c r="AK139" s="96" t="n"/>
      <c r="AL139" s="96" t="n"/>
      <c r="AM139" s="96" t="n"/>
      <c r="AN139" s="96" t="n"/>
    </row>
    <row r="140" hidden="1">
      <c r="A140" s="96" t="n"/>
      <c r="B140" s="96" t="n"/>
      <c r="C140" s="96" t="n"/>
      <c r="D140" s="96" t="n"/>
      <c r="E140" s="96" t="n"/>
      <c r="F140" s="96" t="n"/>
      <c r="G140" s="96" t="n"/>
      <c r="H140" s="96" t="n"/>
      <c r="I140" s="96" t="n"/>
      <c r="J140" s="96" t="n"/>
      <c r="K140" s="96" t="n"/>
      <c r="L140" s="96" t="n"/>
      <c r="M140" s="96" t="n"/>
      <c r="N140" s="96" t="n"/>
      <c r="O140" s="96" t="n"/>
      <c r="P140" s="96" t="n"/>
      <c r="Q140" s="96" t="n"/>
      <c r="R140" s="96" t="n"/>
      <c r="S140" s="96" t="n"/>
      <c r="T140" s="96" t="n"/>
      <c r="U140" s="96" t="n"/>
      <c r="V140" s="96" t="n"/>
      <c r="W140" s="96" t="n"/>
      <c r="X140" s="96" t="n"/>
      <c r="Y140" s="96" t="n"/>
      <c r="Z140" s="96" t="n"/>
      <c r="AA140" s="96" t="n"/>
      <c r="AB140" s="96" t="n"/>
      <c r="AC140" s="96" t="n"/>
      <c r="AD140" s="96" t="n"/>
      <c r="AE140" s="96" t="n"/>
      <c r="AF140" s="96" t="n"/>
      <c r="AG140" s="96" t="n"/>
      <c r="AH140" s="96" t="n"/>
      <c r="AI140" s="96" t="n"/>
      <c r="AJ140" s="96" t="n"/>
      <c r="AK140" s="96" t="n"/>
      <c r="AL140" s="96" t="n"/>
      <c r="AM140" s="96" t="n"/>
      <c r="AN140" s="96" t="n"/>
    </row>
    <row r="141" hidden="1">
      <c r="A141" s="96" t="n"/>
      <c r="B141" s="96" t="n"/>
      <c r="C141" s="96" t="n"/>
      <c r="D141" s="96" t="n"/>
      <c r="E141" s="96" t="n"/>
      <c r="F141" s="96" t="n"/>
      <c r="G141" s="96" t="n"/>
      <c r="H141" s="96" t="n"/>
      <c r="I141" s="96" t="n"/>
      <c r="J141" s="96" t="n"/>
      <c r="K141" s="96" t="n"/>
      <c r="L141" s="96" t="n"/>
      <c r="M141" s="96" t="n"/>
      <c r="N141" s="96" t="n"/>
      <c r="O141" s="96" t="n"/>
      <c r="P141" s="96" t="n"/>
      <c r="Q141" s="96" t="n"/>
      <c r="R141" s="96" t="n"/>
      <c r="S141" s="96" t="n"/>
      <c r="T141" s="96" t="n"/>
      <c r="U141" s="96" t="n"/>
      <c r="V141" s="96" t="n"/>
      <c r="W141" s="96" t="n"/>
      <c r="X141" s="96" t="n"/>
      <c r="Y141" s="96" t="n"/>
      <c r="Z141" s="96" t="n"/>
      <c r="AA141" s="96" t="n"/>
      <c r="AB141" s="96" t="n"/>
      <c r="AC141" s="96" t="n"/>
      <c r="AD141" s="96" t="n"/>
      <c r="AE141" s="96" t="n"/>
      <c r="AF141" s="96" t="n"/>
      <c r="AG141" s="96" t="n"/>
      <c r="AH141" s="96" t="n"/>
      <c r="AI141" s="96" t="n"/>
      <c r="AJ141" s="96" t="n"/>
      <c r="AK141" s="96" t="n"/>
      <c r="AL141" s="96" t="n"/>
      <c r="AM141" s="96" t="n"/>
      <c r="AN141" s="96" t="n"/>
    </row>
    <row r="142" hidden="1">
      <c r="A142" s="96" t="n"/>
      <c r="B142" s="96" t="n"/>
      <c r="C142" s="96" t="n"/>
      <c r="D142" s="96" t="n"/>
      <c r="E142" s="96" t="n"/>
      <c r="F142" s="96" t="n"/>
      <c r="G142" s="96" t="n"/>
      <c r="H142" s="96" t="n"/>
      <c r="I142" s="96" t="n"/>
      <c r="J142" s="96" t="n"/>
      <c r="K142" s="96" t="n"/>
      <c r="L142" s="96" t="n"/>
      <c r="M142" s="96" t="n"/>
      <c r="N142" s="96" t="n"/>
      <c r="O142" s="96" t="n"/>
      <c r="P142" s="96" t="n"/>
      <c r="Q142" s="96" t="n"/>
      <c r="R142" s="96" t="n"/>
      <c r="S142" s="96" t="n"/>
      <c r="T142" s="96" t="n"/>
      <c r="U142" s="96" t="n"/>
      <c r="V142" s="96" t="n"/>
      <c r="W142" s="96" t="n"/>
      <c r="X142" s="96" t="n"/>
      <c r="Y142" s="96" t="n"/>
      <c r="Z142" s="96" t="n"/>
      <c r="AA142" s="96" t="n"/>
      <c r="AB142" s="96" t="n"/>
      <c r="AC142" s="96" t="n"/>
      <c r="AD142" s="96" t="n"/>
      <c r="AE142" s="96" t="n"/>
      <c r="AF142" s="96" t="n"/>
      <c r="AG142" s="96" t="n"/>
      <c r="AH142" s="96" t="n"/>
      <c r="AI142" s="96" t="n"/>
      <c r="AJ142" s="96" t="n"/>
      <c r="AK142" s="96" t="n"/>
      <c r="AL142" s="96" t="n"/>
      <c r="AM142" s="96" t="n"/>
      <c r="AN142" s="96" t="n"/>
    </row>
    <row r="143" hidden="1">
      <c r="A143" s="96" t="n"/>
      <c r="B143" s="96" t="n"/>
      <c r="C143" s="96" t="n"/>
      <c r="D143" s="96" t="n"/>
      <c r="E143" s="96" t="n"/>
      <c r="F143" s="96" t="n"/>
      <c r="G143" s="96" t="n"/>
      <c r="H143" s="96" t="n"/>
      <c r="I143" s="96" t="n"/>
      <c r="J143" s="96" t="n"/>
      <c r="K143" s="96" t="n"/>
      <c r="L143" s="96" t="n"/>
      <c r="M143" s="96" t="n"/>
      <c r="N143" s="96" t="n"/>
      <c r="O143" s="96" t="n"/>
      <c r="P143" s="96" t="n"/>
      <c r="Q143" s="96" t="n"/>
      <c r="R143" s="96" t="n"/>
      <c r="S143" s="96" t="n"/>
      <c r="T143" s="96" t="n"/>
      <c r="U143" s="96" t="n"/>
      <c r="V143" s="96" t="n"/>
      <c r="W143" s="96" t="n"/>
      <c r="X143" s="96" t="n"/>
      <c r="Y143" s="96" t="n"/>
      <c r="Z143" s="96" t="n"/>
      <c r="AA143" s="96" t="n"/>
      <c r="AB143" s="96" t="n"/>
      <c r="AC143" s="96" t="n"/>
      <c r="AD143" s="96" t="n"/>
      <c r="AE143" s="96" t="n"/>
      <c r="AF143" s="96" t="n"/>
      <c r="AG143" s="96" t="n"/>
      <c r="AH143" s="96" t="n"/>
      <c r="AI143" s="96" t="n"/>
      <c r="AJ143" s="96" t="n"/>
      <c r="AK143" s="96" t="n"/>
      <c r="AL143" s="96" t="n"/>
      <c r="AM143" s="96" t="n"/>
      <c r="AN143" s="96" t="n"/>
    </row>
    <row r="144" hidden="1">
      <c r="A144" s="96" t="n"/>
      <c r="B144" s="96" t="n"/>
      <c r="C144" s="96" t="n"/>
      <c r="D144" s="96" t="n"/>
      <c r="E144" s="96" t="n"/>
      <c r="F144" s="96" t="n"/>
      <c r="G144" s="96" t="n"/>
      <c r="H144" s="96" t="n"/>
      <c r="I144" s="96" t="n"/>
      <c r="J144" s="96" t="n"/>
      <c r="K144" s="96" t="n"/>
      <c r="L144" s="96" t="n"/>
      <c r="M144" s="96" t="n"/>
      <c r="N144" s="96" t="n"/>
      <c r="O144" s="96" t="n"/>
      <c r="P144" s="96" t="n"/>
      <c r="Q144" s="96" t="n"/>
      <c r="R144" s="96" t="n"/>
      <c r="S144" s="96" t="n"/>
      <c r="T144" s="96" t="n"/>
      <c r="U144" s="96" t="n"/>
      <c r="V144" s="96" t="n"/>
      <c r="W144" s="96" t="n"/>
      <c r="X144" s="96" t="n"/>
      <c r="Y144" s="96" t="n"/>
      <c r="Z144" s="96" t="n"/>
      <c r="AA144" s="96" t="n"/>
      <c r="AB144" s="96" t="n"/>
      <c r="AC144" s="96" t="n"/>
      <c r="AD144" s="96" t="n"/>
      <c r="AE144" s="96" t="n"/>
      <c r="AF144" s="96" t="n"/>
      <c r="AG144" s="96" t="n"/>
      <c r="AH144" s="96" t="n"/>
      <c r="AI144" s="96" t="n"/>
      <c r="AJ144" s="96" t="n"/>
      <c r="AK144" s="96" t="n"/>
      <c r="AL144" s="96" t="n"/>
      <c r="AM144" s="96" t="n"/>
      <c r="AN144" s="96" t="n"/>
    </row>
    <row r="145" hidden="1">
      <c r="A145" s="96" t="n"/>
      <c r="B145" s="96" t="n"/>
      <c r="C145" s="96" t="n"/>
      <c r="D145" s="96" t="n"/>
      <c r="E145" s="96" t="n"/>
      <c r="F145" s="96" t="n"/>
      <c r="G145" s="96" t="n"/>
      <c r="H145" s="96" t="n"/>
      <c r="I145" s="96" t="n"/>
      <c r="J145" s="96" t="n"/>
      <c r="K145" s="96" t="n"/>
      <c r="L145" s="96" t="n"/>
      <c r="M145" s="96" t="n"/>
      <c r="N145" s="96" t="n"/>
      <c r="O145" s="96" t="n"/>
      <c r="P145" s="96" t="n"/>
      <c r="Q145" s="96" t="n"/>
      <c r="R145" s="96" t="n"/>
      <c r="S145" s="96" t="n"/>
      <c r="T145" s="96" t="n"/>
      <c r="U145" s="96" t="n"/>
      <c r="V145" s="96" t="n"/>
      <c r="W145" s="96" t="n"/>
      <c r="X145" s="96" t="n"/>
      <c r="Y145" s="96" t="n"/>
      <c r="Z145" s="96" t="n"/>
      <c r="AA145" s="96" t="n"/>
      <c r="AB145" s="96" t="n"/>
      <c r="AC145" s="96" t="n"/>
      <c r="AD145" s="96" t="n"/>
      <c r="AE145" s="96" t="n"/>
      <c r="AF145" s="96" t="n"/>
      <c r="AG145" s="96" t="n"/>
      <c r="AH145" s="96" t="n"/>
      <c r="AI145" s="96" t="n"/>
      <c r="AJ145" s="96" t="n"/>
      <c r="AK145" s="96" t="n"/>
      <c r="AL145" s="96" t="n"/>
      <c r="AM145" s="96" t="n"/>
      <c r="AN145" s="96" t="n"/>
    </row>
    <row r="146" hidden="1">
      <c r="A146" s="96" t="n"/>
      <c r="B146" s="96" t="n"/>
      <c r="C146" s="96" t="n"/>
      <c r="D146" s="96" t="n"/>
      <c r="E146" s="96" t="n"/>
      <c r="F146" s="96" t="n"/>
      <c r="G146" s="96" t="n"/>
      <c r="H146" s="96" t="n"/>
      <c r="I146" s="96" t="n"/>
      <c r="J146" s="96" t="n"/>
      <c r="K146" s="96" t="n"/>
      <c r="L146" s="96" t="n"/>
      <c r="M146" s="96" t="n"/>
      <c r="N146" s="96" t="n"/>
      <c r="O146" s="96" t="n"/>
      <c r="P146" s="96" t="n"/>
      <c r="Q146" s="96" t="n"/>
      <c r="R146" s="96" t="n"/>
      <c r="S146" s="96" t="n"/>
      <c r="T146" s="96" t="n"/>
      <c r="U146" s="96" t="n"/>
      <c r="V146" s="96" t="n"/>
      <c r="W146" s="96" t="n"/>
      <c r="X146" s="96" t="n"/>
      <c r="Y146" s="96" t="n"/>
      <c r="Z146" s="96" t="n"/>
      <c r="AA146" s="96" t="n"/>
      <c r="AB146" s="96" t="n"/>
      <c r="AC146" s="96" t="n"/>
      <c r="AD146" s="96" t="n"/>
      <c r="AE146" s="96" t="n"/>
      <c r="AF146" s="96" t="n"/>
      <c r="AG146" s="96" t="n"/>
      <c r="AH146" s="96" t="n"/>
      <c r="AI146" s="96" t="n"/>
      <c r="AJ146" s="96" t="n"/>
      <c r="AK146" s="96" t="n"/>
      <c r="AL146" s="96" t="n"/>
      <c r="AM146" s="96" t="n"/>
      <c r="AN146" s="96" t="n"/>
    </row>
    <row r="147" hidden="1">
      <c r="A147" s="96" t="n"/>
      <c r="B147" s="96" t="n"/>
      <c r="C147" s="96" t="n"/>
      <c r="D147" s="96" t="n"/>
      <c r="E147" s="96" t="n"/>
      <c r="F147" s="96" t="n"/>
      <c r="G147" s="96" t="n"/>
      <c r="H147" s="96" t="n"/>
      <c r="I147" s="96" t="n"/>
      <c r="J147" s="96" t="n"/>
      <c r="K147" s="96" t="n"/>
      <c r="L147" s="96" t="n"/>
      <c r="M147" s="96" t="n"/>
      <c r="N147" s="96" t="n"/>
      <c r="O147" s="96" t="n"/>
      <c r="P147" s="96" t="n"/>
      <c r="Q147" s="96" t="n"/>
      <c r="R147" s="96" t="n"/>
      <c r="S147" s="96" t="n"/>
      <c r="T147" s="96" t="n"/>
      <c r="U147" s="96" t="n"/>
      <c r="V147" s="96" t="n"/>
      <c r="W147" s="96" t="n"/>
      <c r="X147" s="96" t="n"/>
      <c r="Y147" s="96" t="n"/>
      <c r="Z147" s="96" t="n"/>
      <c r="AA147" s="96" t="n"/>
      <c r="AB147" s="96" t="n"/>
      <c r="AC147" s="96" t="n"/>
      <c r="AD147" s="96" t="n"/>
      <c r="AE147" s="96" t="n"/>
      <c r="AF147" s="96" t="n"/>
      <c r="AG147" s="96" t="n"/>
      <c r="AH147" s="96" t="n"/>
      <c r="AI147" s="96" t="n"/>
      <c r="AJ147" s="96" t="n"/>
      <c r="AK147" s="96" t="n"/>
      <c r="AL147" s="96" t="n"/>
      <c r="AM147" s="96" t="n"/>
      <c r="AN147" s="96" t="n"/>
    </row>
    <row r="148" hidden="1">
      <c r="A148" s="96" t="n"/>
      <c r="B148" s="96" t="n"/>
      <c r="C148" s="96" t="n"/>
      <c r="D148" s="96" t="n"/>
      <c r="E148" s="96" t="n"/>
      <c r="F148" s="96" t="n"/>
      <c r="G148" s="96" t="n"/>
      <c r="H148" s="96" t="n"/>
      <c r="I148" s="96" t="n"/>
      <c r="J148" s="96" t="n"/>
      <c r="K148" s="96" t="n"/>
      <c r="L148" s="96" t="n"/>
      <c r="M148" s="96" t="n"/>
      <c r="N148" s="96" t="n"/>
      <c r="O148" s="96" t="n"/>
      <c r="P148" s="96" t="n"/>
      <c r="Q148" s="96" t="n"/>
      <c r="R148" s="96" t="n"/>
      <c r="S148" s="96" t="n"/>
      <c r="T148" s="96" t="n"/>
      <c r="U148" s="96" t="n"/>
      <c r="V148" s="96" t="n"/>
      <c r="W148" s="96" t="n"/>
      <c r="X148" s="96" t="n"/>
      <c r="Y148" s="96" t="n"/>
      <c r="Z148" s="96" t="n"/>
      <c r="AA148" s="96" t="n"/>
      <c r="AB148" s="96" t="n"/>
      <c r="AC148" s="96" t="n"/>
      <c r="AD148" s="96" t="n"/>
      <c r="AE148" s="96" t="n"/>
      <c r="AF148" s="96" t="n"/>
      <c r="AG148" s="96" t="n"/>
      <c r="AH148" s="96" t="n"/>
      <c r="AI148" s="96" t="n"/>
      <c r="AJ148" s="96" t="n"/>
      <c r="AK148" s="96" t="n"/>
      <c r="AL148" s="96" t="n"/>
      <c r="AM148" s="96" t="n"/>
      <c r="AN148" s="96" t="n"/>
    </row>
    <row r="149" hidden="1">
      <c r="A149" s="96" t="n"/>
      <c r="B149" s="96" t="n"/>
      <c r="C149" s="96" t="n"/>
      <c r="D149" s="96" t="n"/>
      <c r="E149" s="96" t="n"/>
      <c r="F149" s="96" t="n"/>
      <c r="G149" s="96" t="n"/>
      <c r="H149" s="96" t="n"/>
      <c r="I149" s="96" t="n"/>
      <c r="J149" s="96" t="n"/>
      <c r="K149" s="96" t="n"/>
      <c r="L149" s="96" t="n"/>
      <c r="M149" s="96" t="n"/>
      <c r="N149" s="96" t="n"/>
      <c r="O149" s="96" t="n"/>
      <c r="P149" s="96" t="n"/>
      <c r="Q149" s="96" t="n"/>
      <c r="R149" s="96" t="n"/>
      <c r="S149" s="96" t="n"/>
      <c r="T149" s="96" t="n"/>
      <c r="U149" s="96" t="n"/>
      <c r="V149" s="96" t="n"/>
      <c r="W149" s="96" t="n"/>
      <c r="X149" s="96" t="n"/>
      <c r="Y149" s="96" t="n"/>
      <c r="Z149" s="96" t="n"/>
      <c r="AA149" s="96" t="n"/>
      <c r="AB149" s="96" t="n"/>
      <c r="AC149" s="96" t="n"/>
      <c r="AD149" s="96" t="n"/>
      <c r="AE149" s="96" t="n"/>
      <c r="AF149" s="96" t="n"/>
      <c r="AG149" s="96" t="n"/>
      <c r="AH149" s="96" t="n"/>
      <c r="AI149" s="96" t="n"/>
      <c r="AJ149" s="96" t="n"/>
      <c r="AK149" s="96" t="n"/>
      <c r="AL149" s="96" t="n"/>
      <c r="AM149" s="96" t="n"/>
      <c r="AN149" s="96" t="n"/>
    </row>
    <row r="150" hidden="1">
      <c r="A150" s="96" t="n"/>
      <c r="B150" s="96" t="n"/>
      <c r="C150" s="96" t="n"/>
      <c r="D150" s="96" t="n"/>
      <c r="E150" s="96" t="n"/>
      <c r="F150" s="96" t="n"/>
      <c r="G150" s="96" t="n"/>
      <c r="H150" s="96" t="n"/>
      <c r="I150" s="96" t="n"/>
      <c r="J150" s="96" t="n"/>
      <c r="K150" s="96" t="n"/>
      <c r="L150" s="96" t="n"/>
      <c r="M150" s="96" t="n"/>
      <c r="N150" s="96" t="n"/>
      <c r="O150" s="96" t="n"/>
      <c r="P150" s="96" t="n"/>
      <c r="Q150" s="96" t="n"/>
      <c r="R150" s="96" t="n"/>
      <c r="S150" s="96" t="n"/>
      <c r="T150" s="96" t="n"/>
      <c r="U150" s="96" t="n"/>
      <c r="V150" s="96" t="n"/>
      <c r="W150" s="96" t="n"/>
      <c r="X150" s="96" t="n"/>
      <c r="Y150" s="96" t="n"/>
      <c r="Z150" s="96" t="n"/>
      <c r="AA150" s="96" t="n"/>
      <c r="AB150" s="96" t="n"/>
      <c r="AC150" s="96" t="n"/>
      <c r="AD150" s="96" t="n"/>
      <c r="AE150" s="96" t="n"/>
      <c r="AF150" s="96" t="n"/>
      <c r="AG150" s="96" t="n"/>
      <c r="AH150" s="96" t="n"/>
      <c r="AI150" s="96" t="n"/>
      <c r="AJ150" s="96" t="n"/>
      <c r="AK150" s="96" t="n"/>
      <c r="AL150" s="96" t="n"/>
      <c r="AM150" s="96" t="n"/>
      <c r="AN150" s="96" t="n"/>
    </row>
    <row r="151" hidden="1">
      <c r="A151" s="96" t="n"/>
      <c r="B151" s="96" t="n"/>
      <c r="C151" s="96" t="n"/>
      <c r="D151" s="96" t="n"/>
      <c r="E151" s="96" t="n"/>
      <c r="F151" s="96" t="n"/>
      <c r="G151" s="96" t="n"/>
      <c r="H151" s="96" t="n"/>
      <c r="I151" s="96" t="n"/>
      <c r="J151" s="96" t="n"/>
      <c r="K151" s="96" t="n"/>
      <c r="L151" s="96" t="n"/>
      <c r="M151" s="96" t="n"/>
      <c r="N151" s="96" t="n"/>
      <c r="O151" s="96" t="n"/>
      <c r="P151" s="96" t="n"/>
      <c r="Q151" s="96" t="n"/>
      <c r="R151" s="96" t="n"/>
      <c r="S151" s="96" t="n"/>
      <c r="T151" s="96" t="n"/>
      <c r="U151" s="96" t="n"/>
      <c r="V151" s="96" t="n"/>
      <c r="W151" s="96" t="n"/>
      <c r="X151" s="96" t="n"/>
      <c r="Y151" s="96" t="n"/>
      <c r="Z151" s="96" t="n"/>
      <c r="AA151" s="96" t="n"/>
      <c r="AB151" s="96" t="n"/>
      <c r="AC151" s="96" t="n"/>
      <c r="AD151" s="96" t="n"/>
      <c r="AE151" s="96" t="n"/>
      <c r="AF151" s="96" t="n"/>
      <c r="AG151" s="96" t="n"/>
      <c r="AH151" s="96" t="n"/>
      <c r="AI151" s="96" t="n"/>
      <c r="AJ151" s="96" t="n"/>
      <c r="AK151" s="96" t="n"/>
      <c r="AL151" s="96" t="n"/>
      <c r="AM151" s="96" t="n"/>
      <c r="AN151" s="96" t="n"/>
    </row>
    <row r="152" hidden="1">
      <c r="A152" s="96" t="n"/>
      <c r="B152" s="96" t="n"/>
      <c r="C152" s="96" t="n"/>
      <c r="D152" s="96" t="n"/>
      <c r="E152" s="96" t="n"/>
      <c r="F152" s="96" t="n"/>
      <c r="G152" s="96" t="n"/>
      <c r="H152" s="96" t="n"/>
      <c r="I152" s="96" t="n"/>
      <c r="J152" s="96" t="n"/>
      <c r="K152" s="96" t="n"/>
      <c r="L152" s="96" t="n"/>
      <c r="M152" s="96" t="n"/>
      <c r="N152" s="96" t="n"/>
      <c r="O152" s="96" t="n"/>
      <c r="P152" s="96" t="n"/>
      <c r="Q152" s="96" t="n"/>
      <c r="R152" s="96" t="n"/>
      <c r="S152" s="96" t="n"/>
      <c r="T152" s="96" t="n"/>
      <c r="U152" s="96" t="n"/>
      <c r="V152" s="96" t="n"/>
      <c r="W152" s="96" t="n"/>
      <c r="X152" s="96" t="n"/>
      <c r="Y152" s="96" t="n"/>
      <c r="Z152" s="96" t="n"/>
      <c r="AA152" s="96" t="n"/>
      <c r="AB152" s="96" t="n"/>
      <c r="AC152" s="96" t="n"/>
      <c r="AD152" s="96" t="n"/>
      <c r="AE152" s="96" t="n"/>
      <c r="AF152" s="96" t="n"/>
      <c r="AG152" s="96" t="n"/>
      <c r="AH152" s="96" t="n"/>
      <c r="AI152" s="96" t="n"/>
      <c r="AJ152" s="96" t="n"/>
      <c r="AK152" s="96" t="n"/>
      <c r="AL152" s="96" t="n"/>
      <c r="AM152" s="96" t="n"/>
      <c r="AN152" s="96" t="n"/>
    </row>
    <row r="153" hidden="1">
      <c r="A153" s="96" t="n"/>
      <c r="B153" s="96" t="n"/>
      <c r="C153" s="96" t="n"/>
      <c r="D153" s="96" t="n"/>
      <c r="E153" s="96" t="n"/>
      <c r="F153" s="96" t="n"/>
      <c r="G153" s="96" t="n"/>
      <c r="H153" s="96" t="n"/>
      <c r="I153" s="96" t="n"/>
      <c r="J153" s="96" t="n"/>
      <c r="K153" s="96" t="n"/>
      <c r="L153" s="96" t="n"/>
      <c r="M153" s="96" t="n"/>
      <c r="N153" s="96" t="n"/>
      <c r="O153" s="96" t="n"/>
      <c r="P153" s="96" t="n"/>
      <c r="Q153" s="96" t="n"/>
      <c r="R153" s="96" t="n"/>
      <c r="S153" s="96" t="n"/>
      <c r="T153" s="96" t="n"/>
      <c r="U153" s="96" t="n"/>
      <c r="V153" s="96" t="n"/>
      <c r="W153" s="96" t="n"/>
      <c r="X153" s="96" t="n"/>
      <c r="Y153" s="96" t="n"/>
      <c r="Z153" s="96" t="n"/>
      <c r="AA153" s="96" t="n"/>
      <c r="AB153" s="96" t="n"/>
      <c r="AC153" s="96" t="n"/>
      <c r="AD153" s="96" t="n"/>
      <c r="AE153" s="96" t="n"/>
      <c r="AF153" s="96" t="n"/>
      <c r="AG153" s="96" t="n"/>
      <c r="AH153" s="96" t="n"/>
      <c r="AI153" s="96" t="n"/>
      <c r="AJ153" s="96" t="n"/>
      <c r="AK153" s="96" t="n"/>
      <c r="AL153" s="96" t="n"/>
      <c r="AM153" s="96" t="n"/>
      <c r="AN153" s="96" t="n"/>
    </row>
    <row r="154" hidden="1">
      <c r="A154" s="96" t="n"/>
      <c r="B154" s="96" t="n"/>
      <c r="C154" s="96" t="n"/>
      <c r="D154" s="96" t="n"/>
      <c r="E154" s="96" t="n"/>
      <c r="F154" s="96" t="n"/>
      <c r="G154" s="96" t="n"/>
      <c r="H154" s="96" t="n"/>
      <c r="I154" s="96" t="n"/>
      <c r="J154" s="96" t="n"/>
      <c r="K154" s="96" t="n"/>
      <c r="L154" s="96" t="n"/>
      <c r="M154" s="96" t="n"/>
      <c r="N154" s="96" t="n"/>
      <c r="O154" s="96" t="n"/>
      <c r="P154" s="96" t="n"/>
      <c r="Q154" s="96" t="n"/>
      <c r="R154" s="96" t="n"/>
      <c r="S154" s="96" t="n"/>
      <c r="T154" s="96" t="n"/>
      <c r="U154" s="96" t="n"/>
      <c r="V154" s="96" t="n"/>
      <c r="W154" s="96" t="n"/>
      <c r="X154" s="96" t="n"/>
      <c r="Y154" s="96" t="n"/>
      <c r="Z154" s="96" t="n"/>
      <c r="AA154" s="96" t="n"/>
      <c r="AB154" s="96" t="n"/>
      <c r="AC154" s="96" t="n"/>
      <c r="AD154" s="96" t="n"/>
      <c r="AE154" s="96" t="n"/>
      <c r="AF154" s="96" t="n"/>
      <c r="AG154" s="96" t="n"/>
      <c r="AH154" s="96" t="n"/>
      <c r="AI154" s="96" t="n"/>
      <c r="AJ154" s="96" t="n"/>
      <c r="AK154" s="96" t="n"/>
      <c r="AL154" s="96" t="n"/>
      <c r="AM154" s="96" t="n"/>
      <c r="AN154" s="96" t="n"/>
    </row>
    <row r="155" hidden="1">
      <c r="A155" s="96" t="n"/>
      <c r="B155" s="96" t="n"/>
      <c r="C155" s="96" t="n"/>
      <c r="D155" s="96" t="n"/>
      <c r="E155" s="96" t="n"/>
      <c r="F155" s="96" t="n"/>
      <c r="G155" s="96" t="n"/>
      <c r="H155" s="96" t="n"/>
      <c r="I155" s="96" t="n"/>
      <c r="J155" s="96" t="n"/>
      <c r="K155" s="96" t="n"/>
      <c r="L155" s="96" t="n"/>
      <c r="M155" s="96" t="n"/>
      <c r="N155" s="96" t="n"/>
      <c r="O155" s="96" t="n"/>
      <c r="P155" s="96" t="n"/>
      <c r="Q155" s="96" t="n"/>
      <c r="R155" s="96" t="n"/>
      <c r="S155" s="96" t="n"/>
      <c r="T155" s="96" t="n"/>
      <c r="U155" s="96" t="n"/>
      <c r="V155" s="96" t="n"/>
      <c r="W155" s="96" t="n"/>
      <c r="X155" s="96" t="n"/>
      <c r="Y155" s="96" t="n"/>
      <c r="Z155" s="96" t="n"/>
      <c r="AA155" s="96" t="n"/>
      <c r="AB155" s="96" t="n"/>
      <c r="AC155" s="96" t="n"/>
      <c r="AD155" s="96" t="n"/>
      <c r="AE155" s="96" t="n"/>
      <c r="AF155" s="96" t="n"/>
      <c r="AG155" s="96" t="n"/>
      <c r="AH155" s="96" t="n"/>
      <c r="AI155" s="96" t="n"/>
      <c r="AJ155" s="96" t="n"/>
      <c r="AK155" s="96" t="n"/>
      <c r="AL155" s="96" t="n"/>
      <c r="AM155" s="96" t="n"/>
      <c r="AN155" s="96" t="n"/>
    </row>
    <row r="156" hidden="1">
      <c r="A156" s="96" t="n"/>
      <c r="B156" s="96" t="n"/>
      <c r="C156" s="96" t="n"/>
      <c r="D156" s="96" t="n"/>
      <c r="E156" s="96" t="n"/>
      <c r="F156" s="96" t="n"/>
      <c r="G156" s="96" t="n"/>
      <c r="H156" s="96" t="n"/>
      <c r="I156" s="96" t="n"/>
      <c r="J156" s="96" t="n"/>
      <c r="K156" s="96" t="n"/>
      <c r="L156" s="96" t="n"/>
      <c r="M156" s="96" t="n"/>
      <c r="N156" s="96" t="n"/>
      <c r="O156" s="96" t="n"/>
      <c r="P156" s="96" t="n"/>
      <c r="Q156" s="96" t="n"/>
      <c r="R156" s="96" t="n"/>
      <c r="S156" s="96" t="n"/>
      <c r="T156" s="96" t="n"/>
      <c r="U156" s="96" t="n"/>
      <c r="V156" s="96" t="n"/>
      <c r="W156" s="96" t="n"/>
      <c r="X156" s="96" t="n"/>
      <c r="Y156" s="96" t="n"/>
      <c r="Z156" s="96" t="n"/>
      <c r="AA156" s="96" t="n"/>
      <c r="AB156" s="96" t="n"/>
      <c r="AC156" s="96" t="n"/>
      <c r="AD156" s="96" t="n"/>
      <c r="AE156" s="96" t="n"/>
      <c r="AF156" s="96" t="n"/>
      <c r="AG156" s="96" t="n"/>
      <c r="AH156" s="96" t="n"/>
      <c r="AI156" s="96" t="n"/>
      <c r="AJ156" s="96" t="n"/>
      <c r="AK156" s="96" t="n"/>
      <c r="AL156" s="96" t="n"/>
      <c r="AM156" s="96" t="n"/>
      <c r="AN156" s="96" t="n"/>
    </row>
    <row r="157" hidden="1">
      <c r="A157" s="96" t="n"/>
      <c r="B157" s="96" t="n"/>
      <c r="C157" s="96" t="n"/>
      <c r="D157" s="96" t="n"/>
      <c r="E157" s="96" t="n"/>
      <c r="F157" s="96" t="n"/>
      <c r="G157" s="96" t="n"/>
      <c r="H157" s="96" t="n"/>
      <c r="I157" s="96" t="n"/>
      <c r="J157" s="96" t="n"/>
      <c r="K157" s="96" t="n"/>
      <c r="L157" s="96" t="n"/>
      <c r="M157" s="96" t="n"/>
      <c r="N157" s="96" t="n"/>
      <c r="O157" s="96" t="n"/>
      <c r="P157" s="96" t="n"/>
      <c r="Q157" s="96" t="n"/>
      <c r="R157" s="96" t="n"/>
      <c r="S157" s="96" t="n"/>
      <c r="T157" s="96" t="n"/>
      <c r="U157" s="96" t="n"/>
      <c r="V157" s="96" t="n"/>
      <c r="W157" s="96" t="n"/>
      <c r="X157" s="96" t="n"/>
      <c r="Y157" s="96" t="n"/>
      <c r="Z157" s="96" t="n"/>
      <c r="AA157" s="96" t="n"/>
      <c r="AB157" s="96" t="n"/>
      <c r="AC157" s="96" t="n"/>
      <c r="AD157" s="96" t="n"/>
      <c r="AE157" s="96" t="n"/>
      <c r="AF157" s="96" t="n"/>
      <c r="AG157" s="96" t="n"/>
      <c r="AH157" s="96" t="n"/>
      <c r="AI157" s="96" t="n"/>
      <c r="AJ157" s="96" t="n"/>
      <c r="AK157" s="96" t="n"/>
      <c r="AL157" s="96" t="n"/>
      <c r="AM157" s="96" t="n"/>
      <c r="AN157" s="96" t="n"/>
    </row>
    <row r="158" hidden="1">
      <c r="A158" s="96" t="n"/>
      <c r="B158" s="96" t="n"/>
      <c r="C158" s="96" t="n"/>
      <c r="D158" s="96" t="n"/>
      <c r="E158" s="96" t="n"/>
      <c r="F158" s="96" t="n"/>
      <c r="G158" s="96" t="n"/>
      <c r="H158" s="96" t="n"/>
      <c r="I158" s="96" t="n"/>
      <c r="J158" s="96" t="n"/>
      <c r="K158" s="96" t="n"/>
      <c r="L158" s="96" t="n"/>
      <c r="M158" s="96" t="n"/>
      <c r="N158" s="96" t="n"/>
      <c r="O158" s="96" t="n"/>
      <c r="P158" s="96" t="n"/>
      <c r="Q158" s="96" t="n"/>
      <c r="R158" s="96" t="n"/>
      <c r="S158" s="96" t="n"/>
      <c r="T158" s="96" t="n"/>
      <c r="U158" s="96" t="n"/>
      <c r="V158" s="96" t="n"/>
      <c r="W158" s="96" t="n"/>
      <c r="X158" s="96" t="n"/>
      <c r="Y158" s="96" t="n"/>
      <c r="Z158" s="96" t="n"/>
      <c r="AA158" s="96" t="n"/>
      <c r="AB158" s="96" t="n"/>
      <c r="AC158" s="96" t="n"/>
      <c r="AD158" s="96" t="n"/>
      <c r="AE158" s="96" t="n"/>
      <c r="AF158" s="96" t="n"/>
      <c r="AG158" s="96" t="n"/>
      <c r="AH158" s="96" t="n"/>
      <c r="AI158" s="96" t="n"/>
      <c r="AJ158" s="96" t="n"/>
      <c r="AK158" s="96" t="n"/>
      <c r="AL158" s="96" t="n"/>
      <c r="AM158" s="96" t="n"/>
      <c r="AN158" s="96" t="n"/>
    </row>
    <row r="159" hidden="1">
      <c r="A159" s="96" t="n"/>
      <c r="B159" s="96" t="n"/>
      <c r="C159" s="96" t="n"/>
      <c r="D159" s="96" t="n"/>
      <c r="E159" s="96" t="n"/>
      <c r="F159" s="96" t="n"/>
      <c r="G159" s="96" t="n"/>
      <c r="H159" s="96" t="n"/>
      <c r="I159" s="96" t="n"/>
      <c r="J159" s="96" t="n"/>
      <c r="K159" s="96" t="n"/>
      <c r="L159" s="96" t="n"/>
      <c r="M159" s="96" t="n"/>
      <c r="N159" s="96" t="n"/>
      <c r="O159" s="96" t="n"/>
      <c r="P159" s="96" t="n"/>
      <c r="Q159" s="96" t="n"/>
      <c r="R159" s="96" t="n"/>
      <c r="S159" s="96" t="n"/>
      <c r="T159" s="96" t="n"/>
      <c r="U159" s="96" t="n"/>
      <c r="V159" s="96" t="n"/>
      <c r="W159" s="96" t="n"/>
      <c r="X159" s="96" t="n"/>
      <c r="Y159" s="96" t="n"/>
      <c r="Z159" s="96" t="n"/>
      <c r="AA159" s="96" t="n"/>
      <c r="AB159" s="96" t="n"/>
      <c r="AC159" s="96" t="n"/>
      <c r="AD159" s="96" t="n"/>
      <c r="AE159" s="96" t="n"/>
      <c r="AF159" s="96" t="n"/>
      <c r="AG159" s="96" t="n"/>
      <c r="AH159" s="96" t="n"/>
      <c r="AI159" s="96" t="n"/>
      <c r="AJ159" s="96" t="n"/>
      <c r="AK159" s="96" t="n"/>
      <c r="AL159" s="96" t="n"/>
      <c r="AM159" s="96" t="n"/>
      <c r="AN159" s="96" t="n"/>
    </row>
    <row r="160" hidden="1">
      <c r="A160" s="96" t="n"/>
      <c r="B160" s="96" t="n"/>
      <c r="C160" s="96" t="n"/>
      <c r="D160" s="96" t="n"/>
      <c r="E160" s="96" t="n"/>
      <c r="F160" s="96" t="n"/>
      <c r="G160" s="96" t="n"/>
      <c r="H160" s="96" t="n"/>
      <c r="I160" s="96" t="n"/>
      <c r="J160" s="96" t="n"/>
      <c r="K160" s="96" t="n"/>
      <c r="L160" s="96" t="n"/>
      <c r="M160" s="96" t="n"/>
      <c r="N160" s="96" t="n"/>
      <c r="O160" s="96" t="n"/>
      <c r="P160" s="96" t="n"/>
      <c r="Q160" s="96" t="n"/>
      <c r="R160" s="96" t="n"/>
      <c r="S160" s="96" t="n"/>
      <c r="T160" s="96" t="n"/>
      <c r="U160" s="96" t="n"/>
      <c r="V160" s="96" t="n"/>
      <c r="W160" s="96" t="n"/>
      <c r="X160" s="96" t="n"/>
      <c r="Y160" s="96" t="n"/>
      <c r="Z160" s="96" t="n"/>
      <c r="AA160" s="96" t="n"/>
      <c r="AB160" s="96" t="n"/>
      <c r="AC160" s="96" t="n"/>
      <c r="AD160" s="96" t="n"/>
      <c r="AE160" s="96" t="n"/>
      <c r="AF160" s="96" t="n"/>
      <c r="AG160" s="96" t="n"/>
      <c r="AH160" s="96" t="n"/>
      <c r="AI160" s="96" t="n"/>
      <c r="AJ160" s="96" t="n"/>
      <c r="AK160" s="96" t="n"/>
      <c r="AL160" s="96" t="n"/>
      <c r="AM160" s="96" t="n"/>
      <c r="AN160" s="96" t="n"/>
    </row>
    <row r="161" hidden="1">
      <c r="A161" s="96" t="n"/>
      <c r="B161" s="96" t="n"/>
      <c r="C161" s="96" t="n"/>
      <c r="D161" s="96" t="n"/>
      <c r="E161" s="96" t="n"/>
      <c r="F161" s="96" t="n"/>
      <c r="G161" s="96" t="n"/>
      <c r="H161" s="96" t="n"/>
      <c r="I161" s="96" t="n"/>
      <c r="J161" s="96" t="n"/>
      <c r="K161" s="96" t="n"/>
      <c r="L161" s="96" t="n"/>
      <c r="M161" s="96" t="n"/>
      <c r="N161" s="96" t="n"/>
      <c r="O161" s="96" t="n"/>
      <c r="P161" s="96" t="n"/>
      <c r="Q161" s="96" t="n"/>
      <c r="R161" s="96" t="n"/>
      <c r="S161" s="96" t="n"/>
      <c r="T161" s="96" t="n"/>
      <c r="U161" s="96" t="n"/>
      <c r="V161" s="96" t="n"/>
      <c r="W161" s="96" t="n"/>
      <c r="X161" s="96" t="n"/>
      <c r="Y161" s="96" t="n"/>
      <c r="Z161" s="96" t="n"/>
      <c r="AA161" s="96" t="n"/>
      <c r="AB161" s="96" t="n"/>
      <c r="AC161" s="96" t="n"/>
      <c r="AD161" s="96" t="n"/>
      <c r="AE161" s="96" t="n"/>
      <c r="AF161" s="96" t="n"/>
      <c r="AG161" s="96" t="n"/>
      <c r="AH161" s="96" t="n"/>
      <c r="AI161" s="96" t="n"/>
      <c r="AJ161" s="96" t="n"/>
      <c r="AK161" s="96" t="n"/>
      <c r="AL161" s="96" t="n"/>
      <c r="AM161" s="96" t="n"/>
      <c r="AN161" s="96" t="n"/>
    </row>
    <row r="162" hidden="1">
      <c r="A162" s="96" t="n"/>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row>
    <row r="163" hidden="1">
      <c r="A163" s="96" t="n"/>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row>
    <row r="164" hidden="1">
      <c r="A164" s="96" t="n"/>
      <c r="B164" s="96" t="n"/>
      <c r="C164" s="96" t="n"/>
      <c r="D164" s="96" t="n"/>
      <c r="E164" s="96" t="n"/>
      <c r="F164" s="96" t="n"/>
      <c r="G164" s="96" t="n"/>
      <c r="H164" s="96" t="n"/>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row>
    <row r="165" hidden="1">
      <c r="A165" s="96" t="n"/>
      <c r="B165" s="96" t="n"/>
      <c r="C165" s="96" t="n"/>
      <c r="D165" s="96" t="n"/>
      <c r="E165" s="96" t="n"/>
      <c r="F165" s="96" t="n"/>
      <c r="G165" s="96" t="n"/>
      <c r="H165" s="96" t="n"/>
      <c r="I165" s="96" t="n"/>
      <c r="J165" s="96" t="n"/>
      <c r="K165" s="96" t="n"/>
      <c r="L165" s="96" t="n"/>
      <c r="M165" s="96" t="n"/>
      <c r="N165" s="96" t="n"/>
      <c r="O165" s="96" t="n"/>
      <c r="P165" s="96" t="n"/>
      <c r="Q165" s="96" t="n"/>
      <c r="R165" s="96" t="n"/>
      <c r="S165" s="96" t="n"/>
      <c r="T165" s="96" t="n"/>
      <c r="U165" s="96" t="n"/>
      <c r="V165" s="96" t="n"/>
      <c r="W165" s="96" t="n"/>
      <c r="X165" s="96" t="n"/>
      <c r="Y165" s="96" t="n"/>
      <c r="Z165" s="96" t="n"/>
      <c r="AA165" s="96" t="n"/>
      <c r="AB165" s="96" t="n"/>
      <c r="AC165" s="96" t="n"/>
      <c r="AD165" s="96" t="n"/>
      <c r="AE165" s="96" t="n"/>
      <c r="AF165" s="96" t="n"/>
      <c r="AG165" s="96" t="n"/>
      <c r="AH165" s="96" t="n"/>
      <c r="AI165" s="96" t="n"/>
      <c r="AJ165" s="96" t="n"/>
      <c r="AK165" s="96" t="n"/>
      <c r="AL165" s="96" t="n"/>
      <c r="AM165" s="96" t="n"/>
      <c r="AN165" s="96" t="n"/>
    </row>
    <row r="166" hidden="1">
      <c r="A166" s="96" t="n"/>
      <c r="B166" s="96" t="n"/>
      <c r="C166" s="96" t="n"/>
      <c r="D166" s="96" t="n"/>
      <c r="E166" s="96" t="n"/>
      <c r="F166" s="96" t="n"/>
      <c r="G166" s="96" t="n"/>
      <c r="H166" s="96" t="n"/>
      <c r="I166" s="96" t="n"/>
      <c r="J166" s="96" t="n"/>
      <c r="K166" s="96" t="n"/>
      <c r="L166" s="96" t="n"/>
      <c r="M166" s="96" t="n"/>
      <c r="N166" s="96" t="n"/>
      <c r="O166" s="96" t="n"/>
      <c r="P166" s="96" t="n"/>
      <c r="Q166" s="96" t="n"/>
      <c r="R166" s="96" t="n"/>
      <c r="S166" s="96" t="n"/>
      <c r="T166" s="96" t="n"/>
      <c r="U166" s="96" t="n"/>
      <c r="V166" s="96" t="n"/>
      <c r="W166" s="96" t="n"/>
      <c r="X166" s="96" t="n"/>
      <c r="Y166" s="96" t="n"/>
      <c r="Z166" s="96" t="n"/>
      <c r="AA166" s="96" t="n"/>
      <c r="AB166" s="96" t="n"/>
      <c r="AC166" s="96" t="n"/>
      <c r="AD166" s="96" t="n"/>
      <c r="AE166" s="96" t="n"/>
      <c r="AF166" s="96" t="n"/>
      <c r="AG166" s="96" t="n"/>
      <c r="AH166" s="96" t="n"/>
      <c r="AI166" s="96" t="n"/>
      <c r="AJ166" s="96" t="n"/>
      <c r="AK166" s="96" t="n"/>
      <c r="AL166" s="96" t="n"/>
      <c r="AM166" s="96" t="n"/>
      <c r="AN166" s="96" t="n"/>
    </row>
    <row r="167" hidden="1">
      <c r="A167" s="96" t="n"/>
      <c r="B167" s="96" t="n"/>
      <c r="C167" s="96" t="n"/>
      <c r="D167" s="96" t="n"/>
      <c r="E167" s="96" t="n"/>
      <c r="F167" s="96" t="n"/>
      <c r="G167" s="96" t="n"/>
      <c r="H167" s="96" t="n"/>
      <c r="I167" s="96" t="n"/>
      <c r="J167" s="96" t="n"/>
      <c r="K167" s="96" t="n"/>
      <c r="L167" s="96" t="n"/>
      <c r="M167" s="96" t="n"/>
      <c r="N167" s="96" t="n"/>
      <c r="O167" s="96" t="n"/>
      <c r="P167" s="96" t="n"/>
      <c r="Q167" s="96" t="n"/>
      <c r="R167" s="96" t="n"/>
      <c r="S167" s="96" t="n"/>
      <c r="T167" s="96" t="n"/>
      <c r="U167" s="96" t="n"/>
      <c r="V167" s="96" t="n"/>
      <c r="W167" s="96" t="n"/>
      <c r="X167" s="96" t="n"/>
      <c r="Y167" s="96" t="n"/>
      <c r="Z167" s="96" t="n"/>
      <c r="AA167" s="96" t="n"/>
      <c r="AB167" s="96" t="n"/>
      <c r="AC167" s="96" t="n"/>
      <c r="AD167" s="96" t="n"/>
      <c r="AE167" s="96" t="n"/>
      <c r="AF167" s="96" t="n"/>
      <c r="AG167" s="96" t="n"/>
      <c r="AH167" s="96" t="n"/>
      <c r="AI167" s="96" t="n"/>
      <c r="AJ167" s="96" t="n"/>
      <c r="AK167" s="96" t="n"/>
      <c r="AL167" s="96" t="n"/>
      <c r="AM167" s="96" t="n"/>
      <c r="AN167" s="96" t="n"/>
    </row>
    <row r="168" hidden="1">
      <c r="A168" s="96" t="n"/>
      <c r="B168" s="96" t="n"/>
      <c r="C168" s="96" t="n"/>
      <c r="D168" s="96" t="n"/>
      <c r="E168" s="96" t="n"/>
      <c r="F168" s="96" t="n"/>
      <c r="G168" s="96" t="n"/>
      <c r="H168" s="96" t="n"/>
      <c r="I168" s="96" t="n"/>
      <c r="J168" s="96" t="n"/>
      <c r="K168" s="96" t="n"/>
      <c r="L168" s="96" t="n"/>
      <c r="M168" s="96" t="n"/>
      <c r="N168" s="96" t="n"/>
      <c r="O168" s="96" t="n"/>
      <c r="P168" s="96" t="n"/>
      <c r="Q168" s="96" t="n"/>
      <c r="R168" s="96" t="n"/>
      <c r="S168" s="96" t="n"/>
      <c r="T168" s="96" t="n"/>
      <c r="U168" s="96" t="n"/>
      <c r="V168" s="96" t="n"/>
      <c r="W168" s="96" t="n"/>
      <c r="X168" s="96" t="n"/>
      <c r="Y168" s="96" t="n"/>
      <c r="Z168" s="96" t="n"/>
      <c r="AA168" s="96" t="n"/>
      <c r="AB168" s="96" t="n"/>
      <c r="AC168" s="96" t="n"/>
      <c r="AD168" s="96" t="n"/>
      <c r="AE168" s="96" t="n"/>
      <c r="AF168" s="96" t="n"/>
      <c r="AG168" s="96" t="n"/>
      <c r="AH168" s="96" t="n"/>
      <c r="AI168" s="96" t="n"/>
      <c r="AJ168" s="96" t="n"/>
      <c r="AK168" s="96" t="n"/>
      <c r="AL168" s="96" t="n"/>
      <c r="AM168" s="96" t="n"/>
      <c r="AN168" s="96" t="n"/>
    </row>
    <row r="169" hidden="1">
      <c r="A169" s="96" t="n"/>
      <c r="B169" s="96" t="n"/>
      <c r="C169" s="96" t="n"/>
      <c r="D169" s="96" t="n"/>
      <c r="E169" s="96" t="n"/>
      <c r="F169" s="96" t="n"/>
      <c r="G169" s="96" t="n"/>
      <c r="H169" s="96" t="n"/>
      <c r="I169" s="96" t="n"/>
      <c r="J169" s="96" t="n"/>
      <c r="K169" s="96" t="n"/>
      <c r="L169" s="96" t="n"/>
      <c r="M169" s="96" t="n"/>
      <c r="N169" s="96" t="n"/>
      <c r="O169" s="96" t="n"/>
      <c r="P169" s="96" t="n"/>
      <c r="Q169" s="96" t="n"/>
      <c r="R169" s="96" t="n"/>
      <c r="S169" s="96" t="n"/>
      <c r="T169" s="96" t="n"/>
      <c r="U169" s="96" t="n"/>
      <c r="V169" s="96" t="n"/>
      <c r="W169" s="96" t="n"/>
      <c r="X169" s="96" t="n"/>
      <c r="Y169" s="96" t="n"/>
      <c r="Z169" s="96" t="n"/>
      <c r="AA169" s="96" t="n"/>
      <c r="AB169" s="96" t="n"/>
      <c r="AC169" s="96" t="n"/>
      <c r="AD169" s="96" t="n"/>
      <c r="AE169" s="96" t="n"/>
      <c r="AF169" s="96" t="n"/>
      <c r="AG169" s="96" t="n"/>
      <c r="AH169" s="96" t="n"/>
      <c r="AI169" s="96" t="n"/>
      <c r="AJ169" s="96" t="n"/>
      <c r="AK169" s="96" t="n"/>
      <c r="AL169" s="96" t="n"/>
      <c r="AM169" s="96" t="n"/>
      <c r="AN169" s="96" t="n"/>
    </row>
    <row r="170" hidden="1">
      <c r="A170" s="96" t="n"/>
      <c r="B170" s="96" t="n"/>
      <c r="C170" s="96" t="n"/>
      <c r="D170" s="96" t="n"/>
      <c r="E170" s="96" t="n"/>
      <c r="F170" s="96" t="n"/>
      <c r="G170" s="96" t="n"/>
      <c r="H170" s="96" t="n"/>
      <c r="I170" s="96" t="n"/>
      <c r="J170" s="96" t="n"/>
      <c r="K170" s="96" t="n"/>
      <c r="L170" s="96" t="n"/>
      <c r="M170" s="96" t="n"/>
      <c r="N170" s="96" t="n"/>
      <c r="O170" s="96" t="n"/>
      <c r="P170" s="96" t="n"/>
      <c r="Q170" s="96" t="n"/>
      <c r="R170" s="96" t="n"/>
      <c r="S170" s="96" t="n"/>
      <c r="T170" s="96" t="n"/>
      <c r="U170" s="96" t="n"/>
      <c r="V170" s="96" t="n"/>
      <c r="W170" s="96" t="n"/>
      <c r="X170" s="96" t="n"/>
      <c r="Y170" s="96" t="n"/>
      <c r="Z170" s="96" t="n"/>
      <c r="AA170" s="96" t="n"/>
      <c r="AB170" s="96" t="n"/>
      <c r="AC170" s="96" t="n"/>
      <c r="AD170" s="96" t="n"/>
      <c r="AE170" s="96" t="n"/>
      <c r="AF170" s="96" t="n"/>
      <c r="AG170" s="96" t="n"/>
      <c r="AH170" s="96" t="n"/>
      <c r="AI170" s="96" t="n"/>
      <c r="AJ170" s="96" t="n"/>
      <c r="AK170" s="96" t="n"/>
      <c r="AL170" s="96" t="n"/>
      <c r="AM170" s="96" t="n"/>
      <c r="AN170" s="96" t="n"/>
    </row>
    <row r="171" hidden="1">
      <c r="A171" s="96" t="n"/>
      <c r="B171" s="96" t="n"/>
      <c r="C171" s="96" t="n"/>
      <c r="D171" s="96" t="n"/>
      <c r="E171" s="96" t="n"/>
      <c r="F171" s="96" t="n"/>
      <c r="G171" s="96" t="n"/>
      <c r="H171" s="96" t="n"/>
      <c r="I171" s="96" t="n"/>
      <c r="J171" s="96" t="n"/>
      <c r="K171" s="96" t="n"/>
      <c r="L171" s="96" t="n"/>
      <c r="M171" s="96" t="n"/>
      <c r="N171" s="96" t="n"/>
      <c r="O171" s="96" t="n"/>
      <c r="P171" s="96" t="n"/>
      <c r="Q171" s="96" t="n"/>
      <c r="R171" s="96" t="n"/>
      <c r="S171" s="96" t="n"/>
      <c r="T171" s="96" t="n"/>
      <c r="U171" s="96" t="n"/>
      <c r="V171" s="96" t="n"/>
      <c r="W171" s="96" t="n"/>
      <c r="X171" s="96" t="n"/>
      <c r="Y171" s="96" t="n"/>
      <c r="Z171" s="96" t="n"/>
      <c r="AA171" s="96" t="n"/>
      <c r="AB171" s="96" t="n"/>
      <c r="AC171" s="96" t="n"/>
      <c r="AD171" s="96" t="n"/>
      <c r="AE171" s="96" t="n"/>
      <c r="AF171" s="96" t="n"/>
      <c r="AG171" s="96" t="n"/>
      <c r="AH171" s="96" t="n"/>
      <c r="AI171" s="96" t="n"/>
      <c r="AJ171" s="96" t="n"/>
      <c r="AK171" s="96" t="n"/>
      <c r="AL171" s="96" t="n"/>
      <c r="AM171" s="96" t="n"/>
      <c r="AN171" s="96" t="n"/>
    </row>
    <row r="172" hidden="1">
      <c r="A172" s="96" t="n"/>
      <c r="B172" s="96" t="n"/>
      <c r="C172" s="96" t="n"/>
      <c r="D172" s="96" t="n"/>
      <c r="E172" s="96" t="n"/>
      <c r="F172" s="96" t="n"/>
      <c r="G172" s="96" t="n"/>
      <c r="H172" s="96" t="n"/>
      <c r="I172" s="96" t="n"/>
      <c r="J172" s="96" t="n"/>
      <c r="K172" s="96" t="n"/>
      <c r="L172" s="96" t="n"/>
      <c r="M172" s="96" t="n"/>
      <c r="N172" s="96" t="n"/>
      <c r="O172" s="96" t="n"/>
      <c r="P172" s="96" t="n"/>
      <c r="Q172" s="96" t="n"/>
      <c r="R172" s="96" t="n"/>
      <c r="S172" s="96" t="n"/>
      <c r="T172" s="96" t="n"/>
      <c r="U172" s="96" t="n"/>
      <c r="V172" s="96" t="n"/>
      <c r="W172" s="96" t="n"/>
      <c r="X172" s="96" t="n"/>
      <c r="Y172" s="96" t="n"/>
      <c r="Z172" s="96" t="n"/>
      <c r="AA172" s="96" t="n"/>
      <c r="AB172" s="96" t="n"/>
      <c r="AC172" s="96" t="n"/>
      <c r="AD172" s="96" t="n"/>
      <c r="AE172" s="96" t="n"/>
      <c r="AF172" s="96" t="n"/>
      <c r="AG172" s="96" t="n"/>
      <c r="AH172" s="96" t="n"/>
      <c r="AI172" s="96" t="n"/>
      <c r="AJ172" s="96" t="n"/>
      <c r="AK172" s="96" t="n"/>
      <c r="AL172" s="96" t="n"/>
      <c r="AM172" s="96" t="n"/>
      <c r="AN172" s="96" t="n"/>
    </row>
    <row r="173" hidden="1">
      <c r="A173" s="96" t="n"/>
      <c r="B173" s="96" t="n"/>
      <c r="C173" s="96" t="n"/>
      <c r="D173" s="96" t="n"/>
      <c r="E173" s="96" t="n"/>
      <c r="F173" s="96" t="n"/>
      <c r="G173" s="96" t="n"/>
      <c r="H173" s="96" t="n"/>
      <c r="I173" s="96" t="n"/>
      <c r="J173" s="96" t="n"/>
      <c r="K173" s="96" t="n"/>
      <c r="L173" s="96" t="n"/>
      <c r="M173" s="96" t="n"/>
      <c r="N173" s="96" t="n"/>
      <c r="O173" s="96" t="n"/>
      <c r="P173" s="96" t="n"/>
      <c r="Q173" s="96" t="n"/>
      <c r="R173" s="96" t="n"/>
      <c r="S173" s="96" t="n"/>
      <c r="T173" s="96" t="n"/>
      <c r="U173" s="96" t="n"/>
      <c r="V173" s="96" t="n"/>
      <c r="W173" s="96" t="n"/>
      <c r="X173" s="96" t="n"/>
      <c r="Y173" s="96" t="n"/>
      <c r="Z173" s="96" t="n"/>
      <c r="AA173" s="96" t="n"/>
      <c r="AB173" s="96" t="n"/>
      <c r="AC173" s="96" t="n"/>
      <c r="AD173" s="96" t="n"/>
      <c r="AE173" s="96" t="n"/>
      <c r="AF173" s="96" t="n"/>
      <c r="AG173" s="96" t="n"/>
      <c r="AH173" s="96" t="n"/>
      <c r="AI173" s="96" t="n"/>
      <c r="AJ173" s="96" t="n"/>
      <c r="AK173" s="96" t="n"/>
      <c r="AL173" s="96" t="n"/>
      <c r="AM173" s="96" t="n"/>
      <c r="AN173" s="96" t="n"/>
    </row>
    <row r="174" hidden="1">
      <c r="A174" s="96" t="n"/>
      <c r="B174" s="96" t="n"/>
      <c r="C174" s="96" t="n"/>
      <c r="D174" s="96" t="n"/>
      <c r="E174" s="96" t="n"/>
      <c r="F174" s="96" t="n"/>
      <c r="G174" s="96" t="n"/>
      <c r="H174" s="96" t="n"/>
      <c r="I174" s="96" t="n"/>
      <c r="J174" s="96" t="n"/>
      <c r="K174" s="96" t="n"/>
      <c r="L174" s="96" t="n"/>
      <c r="M174" s="96" t="n"/>
      <c r="N174" s="96" t="n"/>
      <c r="O174" s="96" t="n"/>
      <c r="P174" s="96" t="n"/>
      <c r="Q174" s="96" t="n"/>
      <c r="R174" s="96" t="n"/>
      <c r="S174" s="96" t="n"/>
      <c r="T174" s="96" t="n"/>
      <c r="U174" s="96" t="n"/>
      <c r="V174" s="96" t="n"/>
      <c r="W174" s="96" t="n"/>
      <c r="X174" s="96" t="n"/>
      <c r="Y174" s="96" t="n"/>
      <c r="Z174" s="96" t="n"/>
      <c r="AA174" s="96" t="n"/>
      <c r="AB174" s="96" t="n"/>
      <c r="AC174" s="96" t="n"/>
      <c r="AD174" s="96" t="n"/>
      <c r="AE174" s="96" t="n"/>
      <c r="AF174" s="96" t="n"/>
      <c r="AG174" s="96" t="n"/>
      <c r="AH174" s="96" t="n"/>
      <c r="AI174" s="96" t="n"/>
      <c r="AJ174" s="96" t="n"/>
      <c r="AK174" s="96" t="n"/>
      <c r="AL174" s="96" t="n"/>
      <c r="AM174" s="96" t="n"/>
      <c r="AN174" s="96" t="n"/>
    </row>
    <row r="175" hidden="1">
      <c r="A175" s="96" t="n"/>
      <c r="B175" s="96" t="n"/>
      <c r="C175" s="96" t="n"/>
      <c r="D175" s="96" t="n"/>
      <c r="E175" s="96" t="n"/>
      <c r="F175" s="96" t="n"/>
      <c r="G175" s="96" t="n"/>
      <c r="H175" s="96" t="n"/>
      <c r="I175" s="96" t="n"/>
      <c r="J175" s="96" t="n"/>
      <c r="K175" s="96" t="n"/>
      <c r="L175" s="96" t="n"/>
      <c r="M175" s="96" t="n"/>
      <c r="N175" s="96" t="n"/>
      <c r="O175" s="96" t="n"/>
      <c r="P175" s="96" t="n"/>
      <c r="Q175" s="96" t="n"/>
      <c r="R175" s="96" t="n"/>
      <c r="S175" s="96" t="n"/>
      <c r="T175" s="96" t="n"/>
      <c r="U175" s="96" t="n"/>
      <c r="V175" s="96" t="n"/>
      <c r="W175" s="96" t="n"/>
      <c r="X175" s="96" t="n"/>
      <c r="Y175" s="96" t="n"/>
      <c r="Z175" s="96" t="n"/>
      <c r="AA175" s="96" t="n"/>
      <c r="AB175" s="96" t="n"/>
      <c r="AC175" s="96" t="n"/>
      <c r="AD175" s="96" t="n"/>
      <c r="AE175" s="96" t="n"/>
      <c r="AF175" s="96" t="n"/>
      <c r="AG175" s="96" t="n"/>
      <c r="AH175" s="96" t="n"/>
      <c r="AI175" s="96" t="n"/>
      <c r="AJ175" s="96" t="n"/>
      <c r="AK175" s="96" t="n"/>
      <c r="AL175" s="96" t="n"/>
      <c r="AM175" s="96" t="n"/>
      <c r="AN175" s="96" t="n"/>
    </row>
    <row r="176" hidden="1">
      <c r="A176" s="96" t="n"/>
      <c r="B176" s="96" t="n"/>
      <c r="C176" s="96" t="n"/>
      <c r="D176" s="96" t="n"/>
      <c r="E176" s="96" t="n"/>
      <c r="F176" s="96" t="n"/>
      <c r="G176" s="96" t="n"/>
      <c r="H176" s="96" t="n"/>
      <c r="I176" s="96" t="n"/>
      <c r="J176" s="96" t="n"/>
      <c r="K176" s="96" t="n"/>
      <c r="L176" s="96" t="n"/>
      <c r="M176" s="96" t="n"/>
      <c r="N176" s="96" t="n"/>
      <c r="O176" s="96" t="n"/>
      <c r="P176" s="96" t="n"/>
      <c r="Q176" s="96" t="n"/>
      <c r="R176" s="96" t="n"/>
      <c r="S176" s="96" t="n"/>
      <c r="T176" s="96" t="n"/>
      <c r="U176" s="96" t="n"/>
      <c r="V176" s="96" t="n"/>
      <c r="W176" s="96" t="n"/>
      <c r="X176" s="96" t="n"/>
      <c r="Y176" s="96" t="n"/>
      <c r="Z176" s="96" t="n"/>
      <c r="AA176" s="96" t="n"/>
      <c r="AB176" s="96" t="n"/>
      <c r="AC176" s="96" t="n"/>
      <c r="AD176" s="96" t="n"/>
      <c r="AE176" s="96" t="n"/>
      <c r="AF176" s="96" t="n"/>
      <c r="AG176" s="96" t="n"/>
      <c r="AH176" s="96" t="n"/>
      <c r="AI176" s="96" t="n"/>
      <c r="AJ176" s="96" t="n"/>
      <c r="AK176" s="96" t="n"/>
      <c r="AL176" s="96" t="n"/>
      <c r="AM176" s="96" t="n"/>
      <c r="AN176" s="96" t="n"/>
    </row>
    <row r="177" hidden="1">
      <c r="A177" s="96" t="n"/>
      <c r="B177" s="96" t="n"/>
      <c r="C177" s="96" t="n"/>
      <c r="D177" s="96" t="n"/>
      <c r="E177" s="96" t="n"/>
      <c r="F177" s="96" t="n"/>
      <c r="G177" s="96" t="n"/>
      <c r="H177" s="96" t="n"/>
      <c r="I177" s="96" t="n"/>
      <c r="J177" s="96" t="n"/>
      <c r="K177" s="96" t="n"/>
      <c r="L177" s="96" t="n"/>
      <c r="M177" s="96" t="n"/>
      <c r="N177" s="96" t="n"/>
      <c r="O177" s="96" t="n"/>
      <c r="P177" s="96" t="n"/>
      <c r="Q177" s="96" t="n"/>
      <c r="R177" s="96" t="n"/>
      <c r="S177" s="96" t="n"/>
      <c r="T177" s="96" t="n"/>
      <c r="U177" s="96" t="n"/>
      <c r="V177" s="96" t="n"/>
      <c r="W177" s="96" t="n"/>
      <c r="X177" s="96" t="n"/>
      <c r="Y177" s="96" t="n"/>
      <c r="Z177" s="96" t="n"/>
      <c r="AA177" s="96" t="n"/>
      <c r="AB177" s="96" t="n"/>
      <c r="AC177" s="96" t="n"/>
      <c r="AD177" s="96" t="n"/>
      <c r="AE177" s="96" t="n"/>
      <c r="AF177" s="96" t="n"/>
      <c r="AG177" s="96" t="n"/>
      <c r="AH177" s="96" t="n"/>
      <c r="AI177" s="96" t="n"/>
      <c r="AJ177" s="96" t="n"/>
      <c r="AK177" s="96" t="n"/>
      <c r="AL177" s="96" t="n"/>
      <c r="AM177" s="96" t="n"/>
      <c r="AN177" s="96" t="n"/>
    </row>
    <row r="178" hidden="1">
      <c r="A178" s="96" t="n"/>
      <c r="B178" s="96" t="n"/>
      <c r="C178" s="96" t="n"/>
      <c r="D178" s="96" t="n"/>
      <c r="E178" s="96" t="n"/>
      <c r="F178" s="96" t="n"/>
      <c r="G178" s="96" t="n"/>
      <c r="H178" s="96" t="n"/>
      <c r="I178" s="96" t="n"/>
      <c r="J178" s="96" t="n"/>
      <c r="K178" s="96" t="n"/>
      <c r="L178" s="96" t="n"/>
      <c r="M178" s="96" t="n"/>
      <c r="N178" s="96" t="n"/>
      <c r="O178" s="96" t="n"/>
      <c r="P178" s="96" t="n"/>
      <c r="Q178" s="96" t="n"/>
      <c r="R178" s="96" t="n"/>
      <c r="S178" s="96" t="n"/>
      <c r="T178" s="96" t="n"/>
      <c r="U178" s="96" t="n"/>
      <c r="V178" s="96" t="n"/>
      <c r="W178" s="96" t="n"/>
      <c r="X178" s="96" t="n"/>
      <c r="Y178" s="96" t="n"/>
      <c r="Z178" s="96" t="n"/>
      <c r="AA178" s="96" t="n"/>
      <c r="AB178" s="96" t="n"/>
      <c r="AC178" s="96" t="n"/>
      <c r="AD178" s="96" t="n"/>
      <c r="AE178" s="96" t="n"/>
      <c r="AF178" s="96" t="n"/>
      <c r="AG178" s="96" t="n"/>
      <c r="AH178" s="96" t="n"/>
      <c r="AI178" s="96" t="n"/>
      <c r="AJ178" s="96" t="n"/>
      <c r="AK178" s="96" t="n"/>
      <c r="AL178" s="96" t="n"/>
      <c r="AM178" s="96" t="n"/>
      <c r="AN178" s="96" t="n"/>
    </row>
    <row r="179" hidden="1">
      <c r="A179" s="96" t="n"/>
      <c r="B179" s="96" t="n"/>
      <c r="C179" s="96" t="n"/>
      <c r="D179" s="96" t="n"/>
      <c r="E179" s="96" t="n"/>
      <c r="F179" s="96" t="n"/>
      <c r="G179" s="96" t="n"/>
      <c r="H179" s="96" t="n"/>
      <c r="I179" s="96" t="n"/>
      <c r="J179" s="96" t="n"/>
      <c r="K179" s="96" t="n"/>
      <c r="L179" s="96" t="n"/>
      <c r="M179" s="96" t="n"/>
      <c r="N179" s="96" t="n"/>
      <c r="O179" s="96" t="n"/>
      <c r="P179" s="96" t="n"/>
      <c r="Q179" s="96" t="n"/>
      <c r="R179" s="96" t="n"/>
      <c r="S179" s="96" t="n"/>
      <c r="T179" s="96" t="n"/>
      <c r="U179" s="96" t="n"/>
      <c r="V179" s="96" t="n"/>
      <c r="W179" s="96" t="n"/>
      <c r="X179" s="96" t="n"/>
      <c r="Y179" s="96" t="n"/>
      <c r="Z179" s="96" t="n"/>
      <c r="AA179" s="96" t="n"/>
      <c r="AB179" s="96" t="n"/>
      <c r="AC179" s="96" t="n"/>
      <c r="AD179" s="96" t="n"/>
      <c r="AE179" s="96" t="n"/>
      <c r="AF179" s="96" t="n"/>
      <c r="AG179" s="96" t="n"/>
      <c r="AH179" s="96" t="n"/>
      <c r="AI179" s="96" t="n"/>
      <c r="AJ179" s="96" t="n"/>
      <c r="AK179" s="96" t="n"/>
      <c r="AL179" s="96" t="n"/>
      <c r="AM179" s="96" t="n"/>
      <c r="AN179" s="96" t="n"/>
    </row>
    <row r="180" hidden="1">
      <c r="A180" s="96" t="n"/>
      <c r="B180" s="96" t="n"/>
      <c r="C180" s="96" t="n"/>
      <c r="D180" s="96" t="n"/>
      <c r="E180" s="96" t="n"/>
      <c r="F180" s="96" t="n"/>
      <c r="G180" s="96" t="n"/>
      <c r="H180" s="96" t="n"/>
      <c r="I180" s="96" t="n"/>
      <c r="J180" s="96" t="n"/>
      <c r="K180" s="96" t="n"/>
      <c r="L180" s="96" t="n"/>
      <c r="M180" s="96" t="n"/>
      <c r="N180" s="96" t="n"/>
      <c r="O180" s="96" t="n"/>
      <c r="P180" s="96" t="n"/>
      <c r="Q180" s="96" t="n"/>
      <c r="R180" s="96" t="n"/>
      <c r="S180" s="96" t="n"/>
      <c r="T180" s="96" t="n"/>
      <c r="U180" s="96" t="n"/>
      <c r="V180" s="96" t="n"/>
      <c r="W180" s="96" t="n"/>
      <c r="X180" s="96" t="n"/>
      <c r="Y180" s="96" t="n"/>
      <c r="Z180" s="96" t="n"/>
      <c r="AA180" s="96" t="n"/>
      <c r="AB180" s="96" t="n"/>
      <c r="AC180" s="96" t="n"/>
      <c r="AD180" s="96" t="n"/>
      <c r="AE180" s="96" t="n"/>
      <c r="AF180" s="96" t="n"/>
      <c r="AG180" s="96" t="n"/>
      <c r="AH180" s="96" t="n"/>
      <c r="AI180" s="96" t="n"/>
      <c r="AJ180" s="96" t="n"/>
      <c r="AK180" s="96" t="n"/>
      <c r="AL180" s="96" t="n"/>
      <c r="AM180" s="96" t="n"/>
      <c r="AN180" s="96" t="n"/>
    </row>
    <row r="181" hidden="1">
      <c r="A181" s="96" t="n"/>
      <c r="B181" s="96" t="n"/>
      <c r="C181" s="96" t="n"/>
      <c r="D181" s="96" t="n"/>
      <c r="E181" s="96" t="n"/>
      <c r="F181" s="96" t="n"/>
      <c r="G181" s="96" t="n"/>
      <c r="H181" s="96" t="n"/>
      <c r="I181" s="96" t="n"/>
      <c r="J181" s="96" t="n"/>
      <c r="K181" s="96" t="n"/>
      <c r="L181" s="96" t="n"/>
      <c r="M181" s="96" t="n"/>
      <c r="N181" s="96" t="n"/>
      <c r="O181" s="96" t="n"/>
      <c r="P181" s="96" t="n"/>
      <c r="Q181" s="96" t="n"/>
      <c r="R181" s="96" t="n"/>
      <c r="S181" s="96" t="n"/>
      <c r="T181" s="96" t="n"/>
      <c r="U181" s="96" t="n"/>
      <c r="V181" s="96" t="n"/>
      <c r="W181" s="96" t="n"/>
      <c r="X181" s="96" t="n"/>
      <c r="Y181" s="96" t="n"/>
      <c r="Z181" s="96" t="n"/>
      <c r="AA181" s="96" t="n"/>
      <c r="AB181" s="96" t="n"/>
      <c r="AC181" s="96" t="n"/>
      <c r="AD181" s="96" t="n"/>
      <c r="AE181" s="96" t="n"/>
      <c r="AF181" s="96" t="n"/>
      <c r="AG181" s="96" t="n"/>
      <c r="AH181" s="96" t="n"/>
      <c r="AI181" s="96" t="n"/>
      <c r="AJ181" s="96" t="n"/>
      <c r="AK181" s="96" t="n"/>
      <c r="AL181" s="96" t="n"/>
      <c r="AM181" s="96" t="n"/>
      <c r="AN181" s="96" t="n"/>
    </row>
    <row r="182" hidden="1">
      <c r="A182" s="96" t="n"/>
      <c r="B182" s="96" t="n"/>
      <c r="C182" s="96" t="n"/>
      <c r="D182" s="96" t="n"/>
      <c r="E182" s="96" t="n"/>
      <c r="F182" s="96" t="n"/>
      <c r="G182" s="96" t="n"/>
      <c r="H182" s="96" t="n"/>
      <c r="I182" s="96" t="n"/>
      <c r="J182" s="96" t="n"/>
      <c r="K182" s="96" t="n"/>
      <c r="L182" s="96" t="n"/>
      <c r="M182" s="96" t="n"/>
      <c r="N182" s="96" t="n"/>
      <c r="O182" s="96" t="n"/>
      <c r="P182" s="96" t="n"/>
      <c r="Q182" s="96" t="n"/>
      <c r="R182" s="96" t="n"/>
      <c r="S182" s="96" t="n"/>
      <c r="T182" s="96" t="n"/>
      <c r="U182" s="96" t="n"/>
      <c r="V182" s="96" t="n"/>
      <c r="W182" s="96" t="n"/>
      <c r="X182" s="96" t="n"/>
      <c r="Y182" s="96" t="n"/>
      <c r="Z182" s="96" t="n"/>
      <c r="AA182" s="96" t="n"/>
      <c r="AB182" s="96" t="n"/>
      <c r="AC182" s="96" t="n"/>
      <c r="AD182" s="96" t="n"/>
      <c r="AE182" s="96" t="n"/>
      <c r="AF182" s="96" t="n"/>
      <c r="AG182" s="96" t="n"/>
      <c r="AH182" s="96" t="n"/>
      <c r="AI182" s="96" t="n"/>
      <c r="AJ182" s="96" t="n"/>
      <c r="AK182" s="96" t="n"/>
      <c r="AL182" s="96" t="n"/>
      <c r="AM182" s="96" t="n"/>
      <c r="AN182" s="96" t="n"/>
    </row>
    <row r="183" hidden="1">
      <c r="A183" s="96" t="n"/>
      <c r="B183" s="96" t="n"/>
      <c r="C183" s="96" t="n"/>
      <c r="D183" s="96" t="n"/>
      <c r="E183" s="96" t="n"/>
      <c r="F183" s="96" t="n"/>
      <c r="G183" s="96" t="n"/>
      <c r="H183" s="96" t="n"/>
      <c r="I183" s="96" t="n"/>
      <c r="J183" s="96" t="n"/>
      <c r="K183" s="96" t="n"/>
      <c r="L183" s="96" t="n"/>
      <c r="M183" s="96" t="n"/>
      <c r="N183" s="96" t="n"/>
      <c r="O183" s="96" t="n"/>
      <c r="P183" s="96" t="n"/>
      <c r="Q183" s="96" t="n"/>
      <c r="R183" s="96" t="n"/>
      <c r="S183" s="96" t="n"/>
      <c r="T183" s="96" t="n"/>
      <c r="U183" s="96" t="n"/>
      <c r="V183" s="96" t="n"/>
      <c r="W183" s="96" t="n"/>
      <c r="X183" s="96" t="n"/>
      <c r="Y183" s="96" t="n"/>
      <c r="Z183" s="96" t="n"/>
      <c r="AA183" s="96" t="n"/>
      <c r="AB183" s="96" t="n"/>
      <c r="AC183" s="96" t="n"/>
      <c r="AD183" s="96" t="n"/>
      <c r="AE183" s="96" t="n"/>
      <c r="AF183" s="96" t="n"/>
      <c r="AG183" s="96" t="n"/>
      <c r="AH183" s="96" t="n"/>
      <c r="AI183" s="96" t="n"/>
      <c r="AJ183" s="96" t="n"/>
      <c r="AK183" s="96" t="n"/>
      <c r="AL183" s="96" t="n"/>
      <c r="AM183" s="96" t="n"/>
      <c r="AN183" s="96" t="n"/>
    </row>
    <row r="184" hidden="1">
      <c r="A184" s="96" t="n"/>
      <c r="B184" s="96" t="n"/>
      <c r="C184" s="96" t="n"/>
      <c r="D184" s="96" t="n"/>
      <c r="E184" s="96" t="n"/>
      <c r="F184" s="96" t="n"/>
      <c r="G184" s="96" t="n"/>
      <c r="H184" s="96" t="n"/>
      <c r="I184" s="96" t="n"/>
      <c r="J184" s="96" t="n"/>
      <c r="K184" s="96" t="n"/>
      <c r="L184" s="96" t="n"/>
      <c r="M184" s="96" t="n"/>
      <c r="N184" s="96" t="n"/>
      <c r="O184" s="96" t="n"/>
      <c r="P184" s="96" t="n"/>
      <c r="Q184" s="96" t="n"/>
      <c r="R184" s="96" t="n"/>
      <c r="S184" s="96" t="n"/>
      <c r="T184" s="96" t="n"/>
      <c r="U184" s="96" t="n"/>
      <c r="V184" s="96" t="n"/>
      <c r="W184" s="96" t="n"/>
      <c r="X184" s="96" t="n"/>
      <c r="Y184" s="96" t="n"/>
      <c r="Z184" s="96" t="n"/>
      <c r="AA184" s="96" t="n"/>
      <c r="AB184" s="96" t="n"/>
      <c r="AC184" s="96" t="n"/>
      <c r="AD184" s="96" t="n"/>
      <c r="AE184" s="96" t="n"/>
      <c r="AF184" s="96" t="n"/>
      <c r="AG184" s="96" t="n"/>
      <c r="AH184" s="96" t="n"/>
      <c r="AI184" s="96" t="n"/>
      <c r="AJ184" s="96" t="n"/>
      <c r="AK184" s="96" t="n"/>
      <c r="AL184" s="96" t="n"/>
      <c r="AM184" s="96" t="n"/>
      <c r="AN184" s="96" t="n"/>
    </row>
    <row r="185" hidden="1">
      <c r="A185" s="96" t="n"/>
      <c r="B185" s="96" t="n"/>
      <c r="C185" s="96" t="n"/>
      <c r="D185" s="96" t="n"/>
      <c r="E185" s="96" t="n"/>
      <c r="F185" s="96" t="n"/>
      <c r="G185" s="96" t="n"/>
      <c r="H185" s="96" t="n"/>
      <c r="I185" s="96" t="n"/>
      <c r="J185" s="96" t="n"/>
      <c r="K185" s="96" t="n"/>
      <c r="L185" s="96" t="n"/>
      <c r="M185" s="96" t="n"/>
      <c r="N185" s="96" t="n"/>
      <c r="O185" s="96" t="n"/>
      <c r="P185" s="96" t="n"/>
      <c r="Q185" s="96" t="n"/>
      <c r="R185" s="96" t="n"/>
      <c r="S185" s="96" t="n"/>
      <c r="T185" s="96" t="n"/>
      <c r="U185" s="96" t="n"/>
      <c r="V185" s="96" t="n"/>
      <c r="W185" s="96" t="n"/>
      <c r="X185" s="96" t="n"/>
      <c r="Y185" s="96" t="n"/>
      <c r="Z185" s="96" t="n"/>
      <c r="AA185" s="96" t="n"/>
      <c r="AB185" s="96" t="n"/>
      <c r="AC185" s="96" t="n"/>
      <c r="AD185" s="96" t="n"/>
      <c r="AE185" s="96" t="n"/>
      <c r="AF185" s="96" t="n"/>
      <c r="AG185" s="96" t="n"/>
      <c r="AH185" s="96" t="n"/>
      <c r="AI185" s="96" t="n"/>
      <c r="AJ185" s="96" t="n"/>
      <c r="AK185" s="96" t="n"/>
      <c r="AL185" s="96" t="n"/>
      <c r="AM185" s="96" t="n"/>
      <c r="AN185" s="96" t="n"/>
    </row>
    <row r="186" hidden="1">
      <c r="A186" s="96" t="n"/>
      <c r="B186" s="96" t="n"/>
      <c r="C186" s="96" t="n"/>
      <c r="D186" s="96" t="n"/>
      <c r="E186" s="96" t="n"/>
      <c r="F186" s="96" t="n"/>
      <c r="G186" s="96" t="n"/>
      <c r="H186" s="96" t="n"/>
      <c r="I186" s="96" t="n"/>
      <c r="J186" s="96" t="n"/>
      <c r="K186" s="96" t="n"/>
      <c r="L186" s="96" t="n"/>
      <c r="M186" s="96" t="n"/>
      <c r="N186" s="96" t="n"/>
      <c r="O186" s="96" t="n"/>
      <c r="P186" s="96" t="n"/>
      <c r="Q186" s="96" t="n"/>
      <c r="R186" s="96" t="n"/>
      <c r="S186" s="96" t="n"/>
      <c r="T186" s="96" t="n"/>
      <c r="U186" s="96" t="n"/>
      <c r="V186" s="96" t="n"/>
      <c r="W186" s="96" t="n"/>
      <c r="X186" s="96" t="n"/>
      <c r="Y186" s="96" t="n"/>
      <c r="Z186" s="96" t="n"/>
      <c r="AA186" s="96" t="n"/>
      <c r="AB186" s="96" t="n"/>
      <c r="AC186" s="96" t="n"/>
      <c r="AD186" s="96" t="n"/>
      <c r="AE186" s="96" t="n"/>
      <c r="AF186" s="96" t="n"/>
      <c r="AG186" s="96" t="n"/>
      <c r="AH186" s="96" t="n"/>
      <c r="AI186" s="96" t="n"/>
      <c r="AJ186" s="96" t="n"/>
      <c r="AK186" s="96" t="n"/>
      <c r="AL186" s="96" t="n"/>
      <c r="AM186" s="96" t="n"/>
      <c r="AN186" s="96" t="n"/>
    </row>
    <row r="187" hidden="1">
      <c r="A187" s="96" t="n"/>
      <c r="B187" s="96" t="n"/>
      <c r="C187" s="96" t="n"/>
      <c r="D187" s="96" t="n"/>
      <c r="E187" s="96" t="n"/>
      <c r="F187" s="96" t="n"/>
      <c r="G187" s="96" t="n"/>
      <c r="H187" s="96" t="n"/>
      <c r="I187" s="96" t="n"/>
      <c r="J187" s="96" t="n"/>
      <c r="K187" s="96" t="n"/>
      <c r="L187" s="96" t="n"/>
      <c r="M187" s="96" t="n"/>
      <c r="N187" s="96" t="n"/>
      <c r="O187" s="96" t="n"/>
      <c r="P187" s="96" t="n"/>
      <c r="Q187" s="96" t="n"/>
      <c r="R187" s="96" t="n"/>
      <c r="S187" s="96" t="n"/>
      <c r="T187" s="96" t="n"/>
      <c r="U187" s="96" t="n"/>
      <c r="V187" s="96" t="n"/>
      <c r="W187" s="96" t="n"/>
      <c r="X187" s="96" t="n"/>
      <c r="Y187" s="96" t="n"/>
      <c r="Z187" s="96" t="n"/>
      <c r="AA187" s="96" t="n"/>
      <c r="AB187" s="96" t="n"/>
      <c r="AC187" s="96" t="n"/>
      <c r="AD187" s="96" t="n"/>
      <c r="AE187" s="96" t="n"/>
      <c r="AF187" s="96" t="n"/>
      <c r="AG187" s="96" t="n"/>
      <c r="AH187" s="96" t="n"/>
      <c r="AI187" s="96" t="n"/>
      <c r="AJ187" s="96" t="n"/>
      <c r="AK187" s="96" t="n"/>
      <c r="AL187" s="96" t="n"/>
      <c r="AM187" s="96" t="n"/>
      <c r="AN187" s="96" t="n"/>
    </row>
    <row r="188" hidden="1">
      <c r="A188" s="96" t="n"/>
      <c r="B188" s="96" t="n"/>
      <c r="C188" s="96" t="n"/>
      <c r="D188" s="96" t="n"/>
      <c r="E188" s="96" t="n"/>
      <c r="F188" s="96" t="n"/>
      <c r="G188" s="96" t="n"/>
      <c r="H188" s="96" t="n"/>
      <c r="I188" s="96" t="n"/>
      <c r="J188" s="96" t="n"/>
      <c r="K188" s="96" t="n"/>
      <c r="L188" s="96" t="n"/>
      <c r="M188" s="96" t="n"/>
      <c r="N188" s="96" t="n"/>
      <c r="O188" s="96" t="n"/>
      <c r="P188" s="96" t="n"/>
      <c r="Q188" s="96" t="n"/>
      <c r="R188" s="96" t="n"/>
      <c r="S188" s="96" t="n"/>
      <c r="T188" s="96" t="n"/>
      <c r="U188" s="96" t="n"/>
      <c r="V188" s="96" t="n"/>
      <c r="W188" s="96" t="n"/>
      <c r="X188" s="96" t="n"/>
      <c r="Y188" s="96" t="n"/>
      <c r="Z188" s="96" t="n"/>
      <c r="AA188" s="96" t="n"/>
      <c r="AB188" s="96" t="n"/>
      <c r="AC188" s="96" t="n"/>
      <c r="AD188" s="96" t="n"/>
      <c r="AE188" s="96" t="n"/>
      <c r="AF188" s="96" t="n"/>
      <c r="AG188" s="96" t="n"/>
      <c r="AH188" s="96" t="n"/>
      <c r="AI188" s="96" t="n"/>
      <c r="AJ188" s="96" t="n"/>
      <c r="AK188" s="96" t="n"/>
      <c r="AL188" s="96" t="n"/>
      <c r="AM188" s="96" t="n"/>
      <c r="AN188" s="96" t="n"/>
    </row>
    <row r="189" hidden="1">
      <c r="A189" s="96" t="n"/>
      <c r="B189" s="96" t="n"/>
      <c r="C189" s="96" t="n"/>
      <c r="D189" s="96" t="n"/>
      <c r="E189" s="96" t="n"/>
      <c r="F189" s="96" t="n"/>
      <c r="G189" s="96" t="n"/>
      <c r="H189" s="96" t="n"/>
      <c r="I189" s="96" t="n"/>
      <c r="J189" s="96" t="n"/>
      <c r="K189" s="96" t="n"/>
      <c r="L189" s="96" t="n"/>
      <c r="M189" s="96" t="n"/>
      <c r="N189" s="96" t="n"/>
      <c r="O189" s="96" t="n"/>
      <c r="P189" s="96" t="n"/>
      <c r="Q189" s="96" t="n"/>
      <c r="R189" s="96" t="n"/>
      <c r="S189" s="96" t="n"/>
      <c r="T189" s="96" t="n"/>
      <c r="U189" s="96" t="n"/>
      <c r="V189" s="96" t="n"/>
      <c r="W189" s="96" t="n"/>
      <c r="X189" s="96" t="n"/>
      <c r="Y189" s="96" t="n"/>
      <c r="Z189" s="96" t="n"/>
      <c r="AA189" s="96" t="n"/>
      <c r="AB189" s="96" t="n"/>
      <c r="AC189" s="96" t="n"/>
      <c r="AD189" s="96" t="n"/>
      <c r="AE189" s="96" t="n"/>
      <c r="AF189" s="96" t="n"/>
      <c r="AG189" s="96" t="n"/>
      <c r="AH189" s="96" t="n"/>
      <c r="AI189" s="96" t="n"/>
      <c r="AJ189" s="96" t="n"/>
      <c r="AK189" s="96" t="n"/>
      <c r="AL189" s="96" t="n"/>
      <c r="AM189" s="96" t="n"/>
      <c r="AN189" s="96" t="n"/>
    </row>
    <row r="190" hidden="1">
      <c r="A190" s="96" t="n"/>
      <c r="B190" s="96" t="n"/>
      <c r="C190" s="96" t="n"/>
      <c r="D190" s="96" t="n"/>
      <c r="E190" s="96" t="n"/>
      <c r="F190" s="96" t="n"/>
      <c r="G190" s="96" t="n"/>
      <c r="H190" s="96" t="n"/>
      <c r="I190" s="96" t="n"/>
      <c r="J190" s="96" t="n"/>
      <c r="K190" s="96" t="n"/>
      <c r="L190" s="96" t="n"/>
      <c r="M190" s="96" t="n"/>
      <c r="N190" s="96" t="n"/>
      <c r="O190" s="96" t="n"/>
      <c r="P190" s="96" t="n"/>
      <c r="Q190" s="96" t="n"/>
      <c r="R190" s="96" t="n"/>
      <c r="S190" s="96" t="n"/>
      <c r="T190" s="96" t="n"/>
      <c r="U190" s="96" t="n"/>
      <c r="V190" s="96" t="n"/>
      <c r="W190" s="96" t="n"/>
      <c r="X190" s="96" t="n"/>
      <c r="Y190" s="96" t="n"/>
      <c r="Z190" s="96" t="n"/>
      <c r="AA190" s="96" t="n"/>
      <c r="AB190" s="96" t="n"/>
      <c r="AC190" s="96" t="n"/>
      <c r="AD190" s="96" t="n"/>
      <c r="AE190" s="96" t="n"/>
      <c r="AF190" s="96" t="n"/>
      <c r="AG190" s="96" t="n"/>
      <c r="AH190" s="96" t="n"/>
      <c r="AI190" s="96" t="n"/>
      <c r="AJ190" s="96" t="n"/>
      <c r="AK190" s="96" t="n"/>
      <c r="AL190" s="96" t="n"/>
      <c r="AM190" s="96" t="n"/>
      <c r="AN190" s="96" t="n"/>
    </row>
    <row r="191" hidden="1">
      <c r="A191" s="96" t="n"/>
      <c r="B191" s="96" t="n"/>
      <c r="C191" s="96" t="n"/>
      <c r="D191" s="96" t="n"/>
      <c r="E191" s="96" t="n"/>
      <c r="F191" s="96" t="n"/>
      <c r="G191" s="96" t="n"/>
      <c r="H191" s="96" t="n"/>
      <c r="I191" s="96" t="n"/>
      <c r="J191" s="96" t="n"/>
      <c r="K191" s="96" t="n"/>
      <c r="L191" s="96" t="n"/>
      <c r="M191" s="96" t="n"/>
      <c r="N191" s="96" t="n"/>
      <c r="O191" s="96" t="n"/>
      <c r="P191" s="96" t="n"/>
      <c r="Q191" s="96" t="n"/>
      <c r="R191" s="96" t="n"/>
      <c r="S191" s="96" t="n"/>
      <c r="T191" s="96" t="n"/>
      <c r="U191" s="96" t="n"/>
      <c r="V191" s="96" t="n"/>
      <c r="W191" s="96" t="n"/>
      <c r="X191" s="96" t="n"/>
      <c r="Y191" s="96" t="n"/>
      <c r="Z191" s="96" t="n"/>
      <c r="AA191" s="96" t="n"/>
      <c r="AB191" s="96" t="n"/>
      <c r="AC191" s="96" t="n"/>
      <c r="AD191" s="96" t="n"/>
      <c r="AE191" s="96" t="n"/>
      <c r="AF191" s="96" t="n"/>
      <c r="AG191" s="96" t="n"/>
      <c r="AH191" s="96" t="n"/>
      <c r="AI191" s="96" t="n"/>
      <c r="AJ191" s="96" t="n"/>
      <c r="AK191" s="96" t="n"/>
      <c r="AL191" s="96" t="n"/>
      <c r="AM191" s="96" t="n"/>
      <c r="AN191" s="96" t="n"/>
    </row>
    <row r="192" hidden="1">
      <c r="A192" s="96" t="n"/>
      <c r="B192" s="96" t="n"/>
      <c r="C192" s="96" t="n"/>
      <c r="D192" s="96" t="n"/>
      <c r="E192" s="96" t="n"/>
      <c r="F192" s="96" t="n"/>
      <c r="G192" s="96" t="n"/>
      <c r="H192" s="96" t="n"/>
      <c r="I192" s="96" t="n"/>
      <c r="J192" s="96" t="n"/>
      <c r="K192" s="96" t="n"/>
      <c r="L192" s="96" t="n"/>
      <c r="M192" s="96" t="n"/>
      <c r="N192" s="96" t="n"/>
      <c r="O192" s="96" t="n"/>
      <c r="P192" s="96" t="n"/>
      <c r="Q192" s="96" t="n"/>
      <c r="R192" s="96" t="n"/>
      <c r="S192" s="96" t="n"/>
      <c r="T192" s="96" t="n"/>
      <c r="U192" s="96" t="n"/>
      <c r="V192" s="96" t="n"/>
      <c r="W192" s="96" t="n"/>
      <c r="X192" s="96" t="n"/>
      <c r="Y192" s="96" t="n"/>
      <c r="Z192" s="96" t="n"/>
      <c r="AA192" s="96" t="n"/>
      <c r="AB192" s="96" t="n"/>
      <c r="AC192" s="96" t="n"/>
      <c r="AD192" s="96" t="n"/>
      <c r="AE192" s="96" t="n"/>
      <c r="AF192" s="96" t="n"/>
      <c r="AG192" s="96" t="n"/>
      <c r="AH192" s="96" t="n"/>
      <c r="AI192" s="96" t="n"/>
      <c r="AJ192" s="96" t="n"/>
      <c r="AK192" s="96" t="n"/>
      <c r="AL192" s="96" t="n"/>
      <c r="AM192" s="96" t="n"/>
      <c r="AN192" s="96" t="n"/>
    </row>
    <row r="193" hidden="1">
      <c r="A193" s="96" t="n"/>
      <c r="B193" s="96" t="n"/>
      <c r="C193" s="96" t="n"/>
      <c r="D193" s="96" t="n"/>
      <c r="E193" s="96" t="n"/>
      <c r="F193" s="96" t="n"/>
      <c r="G193" s="96" t="n"/>
      <c r="H193" s="96" t="n"/>
      <c r="I193" s="96" t="n"/>
      <c r="J193" s="96" t="n"/>
      <c r="K193" s="96" t="n"/>
      <c r="L193" s="96" t="n"/>
      <c r="M193" s="96" t="n"/>
      <c r="N193" s="96" t="n"/>
      <c r="O193" s="96" t="n"/>
      <c r="P193" s="96" t="n"/>
      <c r="Q193" s="96" t="n"/>
      <c r="R193" s="96" t="n"/>
      <c r="S193" s="96" t="n"/>
      <c r="T193" s="96" t="n"/>
      <c r="U193" s="96" t="n"/>
      <c r="V193" s="96" t="n"/>
      <c r="W193" s="96" t="n"/>
      <c r="X193" s="96" t="n"/>
      <c r="Y193" s="96" t="n"/>
      <c r="Z193" s="96" t="n"/>
      <c r="AA193" s="96" t="n"/>
      <c r="AB193" s="96" t="n"/>
      <c r="AC193" s="96" t="n"/>
      <c r="AD193" s="96" t="n"/>
      <c r="AE193" s="96" t="n"/>
      <c r="AF193" s="96" t="n"/>
      <c r="AG193" s="96" t="n"/>
      <c r="AH193" s="96" t="n"/>
      <c r="AI193" s="96" t="n"/>
      <c r="AJ193" s="96" t="n"/>
      <c r="AK193" s="96" t="n"/>
      <c r="AL193" s="96" t="n"/>
      <c r="AM193" s="96" t="n"/>
      <c r="AN193" s="96" t="n"/>
    </row>
    <row r="194" hidden="1">
      <c r="A194" s="96" t="n"/>
      <c r="B194" s="96" t="n"/>
      <c r="C194" s="96" t="n"/>
      <c r="D194" s="96" t="n"/>
      <c r="E194" s="96" t="n"/>
      <c r="F194" s="96" t="n"/>
      <c r="G194" s="96" t="n"/>
      <c r="H194" s="96" t="n"/>
      <c r="I194" s="96" t="n"/>
      <c r="J194" s="96" t="n"/>
      <c r="K194" s="96" t="n"/>
      <c r="L194" s="96" t="n"/>
      <c r="M194" s="96" t="n"/>
      <c r="N194" s="96" t="n"/>
      <c r="O194" s="96" t="n"/>
      <c r="P194" s="96" t="n"/>
      <c r="Q194" s="96" t="n"/>
      <c r="R194" s="96" t="n"/>
      <c r="S194" s="96" t="n"/>
      <c r="T194" s="96" t="n"/>
      <c r="U194" s="96" t="n"/>
      <c r="V194" s="96" t="n"/>
      <c r="W194" s="96" t="n"/>
      <c r="X194" s="96" t="n"/>
      <c r="Y194" s="96" t="n"/>
      <c r="Z194" s="96" t="n"/>
      <c r="AA194" s="96" t="n"/>
      <c r="AB194" s="96" t="n"/>
      <c r="AC194" s="96" t="n"/>
      <c r="AD194" s="96" t="n"/>
      <c r="AE194" s="96" t="n"/>
      <c r="AF194" s="96" t="n"/>
      <c r="AG194" s="96" t="n"/>
      <c r="AH194" s="96" t="n"/>
      <c r="AI194" s="96" t="n"/>
      <c r="AJ194" s="96" t="n"/>
      <c r="AK194" s="96" t="n"/>
      <c r="AL194" s="96" t="n"/>
      <c r="AM194" s="96" t="n"/>
      <c r="AN194" s="96" t="n"/>
    </row>
    <row r="195" hidden="1">
      <c r="A195" s="96" t="n"/>
      <c r="B195" s="96" t="n"/>
      <c r="C195" s="96" t="n"/>
      <c r="D195" s="96" t="n"/>
      <c r="E195" s="96" t="n"/>
      <c r="F195" s="96" t="n"/>
      <c r="G195" s="96" t="n"/>
      <c r="H195" s="96" t="n"/>
      <c r="I195" s="96" t="n"/>
      <c r="J195" s="96" t="n"/>
      <c r="K195" s="96" t="n"/>
      <c r="L195" s="96" t="n"/>
      <c r="M195" s="96" t="n"/>
      <c r="N195" s="96" t="n"/>
      <c r="O195" s="96" t="n"/>
      <c r="P195" s="96" t="n"/>
      <c r="Q195" s="96" t="n"/>
      <c r="R195" s="96" t="n"/>
      <c r="S195" s="96" t="n"/>
      <c r="T195" s="96" t="n"/>
      <c r="U195" s="96" t="n"/>
      <c r="V195" s="96" t="n"/>
      <c r="W195" s="96" t="n"/>
      <c r="X195" s="96" t="n"/>
      <c r="Y195" s="96" t="n"/>
      <c r="Z195" s="96" t="n"/>
      <c r="AA195" s="96" t="n"/>
      <c r="AB195" s="96" t="n"/>
      <c r="AC195" s="96" t="n"/>
      <c r="AD195" s="96" t="n"/>
      <c r="AE195" s="96" t="n"/>
      <c r="AF195" s="96" t="n"/>
      <c r="AG195" s="96" t="n"/>
      <c r="AH195" s="96" t="n"/>
      <c r="AI195" s="96" t="n"/>
      <c r="AJ195" s="96" t="n"/>
      <c r="AK195" s="96" t="n"/>
      <c r="AL195" s="96" t="n"/>
      <c r="AM195" s="96" t="n"/>
      <c r="AN195" s="96" t="n"/>
    </row>
    <row r="196" hidden="1">
      <c r="A196" s="96" t="n"/>
      <c r="B196" s="96" t="n"/>
      <c r="C196" s="96" t="n"/>
      <c r="D196" s="96" t="n"/>
      <c r="E196" s="96" t="n"/>
      <c r="F196" s="96" t="n"/>
      <c r="G196" s="96" t="n"/>
      <c r="H196" s="96" t="n"/>
      <c r="I196" s="96" t="n"/>
      <c r="J196" s="96" t="n"/>
      <c r="K196" s="96" t="n"/>
      <c r="L196" s="96" t="n"/>
      <c r="M196" s="96" t="n"/>
      <c r="N196" s="96" t="n"/>
      <c r="O196" s="96" t="n"/>
      <c r="P196" s="96" t="n"/>
      <c r="Q196" s="96" t="n"/>
      <c r="R196" s="96" t="n"/>
      <c r="S196" s="96" t="n"/>
      <c r="T196" s="96" t="n"/>
      <c r="U196" s="96" t="n"/>
      <c r="V196" s="96" t="n"/>
      <c r="W196" s="96" t="n"/>
      <c r="X196" s="96" t="n"/>
      <c r="Y196" s="96" t="n"/>
      <c r="Z196" s="96" t="n"/>
      <c r="AA196" s="96" t="n"/>
      <c r="AB196" s="96" t="n"/>
      <c r="AC196" s="96" t="n"/>
      <c r="AD196" s="96" t="n"/>
      <c r="AE196" s="96" t="n"/>
      <c r="AF196" s="96" t="n"/>
      <c r="AG196" s="96" t="n"/>
      <c r="AH196" s="96" t="n"/>
      <c r="AI196" s="96" t="n"/>
      <c r="AJ196" s="96" t="n"/>
      <c r="AK196" s="96" t="n"/>
      <c r="AL196" s="96" t="n"/>
      <c r="AM196" s="96" t="n"/>
      <c r="AN196" s="96" t="n"/>
    </row>
    <row r="197" hidden="1">
      <c r="A197" s="96" t="n"/>
      <c r="B197" s="96" t="n"/>
      <c r="C197" s="96" t="n"/>
      <c r="D197" s="96" t="n"/>
      <c r="E197" s="96" t="n"/>
      <c r="F197" s="96" t="n"/>
      <c r="G197" s="96" t="n"/>
      <c r="H197" s="96" t="n"/>
      <c r="I197" s="96" t="n"/>
      <c r="J197" s="96" t="n"/>
      <c r="K197" s="96" t="n"/>
      <c r="L197" s="96" t="n"/>
      <c r="M197" s="96" t="n"/>
      <c r="N197" s="96" t="n"/>
      <c r="O197" s="96" t="n"/>
      <c r="P197" s="96" t="n"/>
      <c r="Q197" s="96" t="n"/>
      <c r="R197" s="96" t="n"/>
      <c r="S197" s="96" t="n"/>
      <c r="T197" s="96" t="n"/>
      <c r="U197" s="96" t="n"/>
      <c r="V197" s="96" t="n"/>
      <c r="W197" s="96" t="n"/>
      <c r="X197" s="96" t="n"/>
      <c r="Y197" s="96" t="n"/>
      <c r="Z197" s="96" t="n"/>
      <c r="AA197" s="96" t="n"/>
      <c r="AB197" s="96" t="n"/>
      <c r="AC197" s="96" t="n"/>
      <c r="AD197" s="96" t="n"/>
      <c r="AE197" s="96" t="n"/>
      <c r="AF197" s="96" t="n"/>
      <c r="AG197" s="96" t="n"/>
      <c r="AH197" s="96" t="n"/>
      <c r="AI197" s="96" t="n"/>
      <c r="AJ197" s="96" t="n"/>
      <c r="AK197" s="96" t="n"/>
      <c r="AL197" s="96" t="n"/>
      <c r="AM197" s="96" t="n"/>
      <c r="AN197" s="96" t="n"/>
    </row>
    <row r="198" hidden="1">
      <c r="A198" s="96" t="n"/>
      <c r="B198" s="96" t="n"/>
      <c r="C198" s="96" t="n"/>
      <c r="D198" s="96" t="n"/>
      <c r="E198" s="96" t="n"/>
      <c r="F198" s="96" t="n"/>
      <c r="G198" s="96" t="n"/>
      <c r="H198" s="96" t="n"/>
      <c r="I198" s="96" t="n"/>
      <c r="J198" s="96" t="n"/>
      <c r="K198" s="96" t="n"/>
      <c r="L198" s="96" t="n"/>
      <c r="M198" s="96" t="n"/>
      <c r="N198" s="96" t="n"/>
      <c r="O198" s="96" t="n"/>
      <c r="P198" s="96" t="n"/>
      <c r="Q198" s="96" t="n"/>
      <c r="R198" s="96" t="n"/>
      <c r="S198" s="96" t="n"/>
      <c r="T198" s="96" t="n"/>
      <c r="U198" s="96" t="n"/>
      <c r="V198" s="96" t="n"/>
      <c r="W198" s="96" t="n"/>
      <c r="X198" s="96" t="n"/>
      <c r="Y198" s="96" t="n"/>
      <c r="Z198" s="96" t="n"/>
      <c r="AA198" s="96" t="n"/>
      <c r="AB198" s="96" t="n"/>
      <c r="AC198" s="96" t="n"/>
      <c r="AD198" s="96" t="n"/>
      <c r="AE198" s="96" t="n"/>
      <c r="AF198" s="96" t="n"/>
      <c r="AG198" s="96" t="n"/>
      <c r="AH198" s="96" t="n"/>
      <c r="AI198" s="96" t="n"/>
      <c r="AJ198" s="96" t="n"/>
      <c r="AK198" s="96" t="n"/>
      <c r="AL198" s="96" t="n"/>
      <c r="AM198" s="96" t="n"/>
      <c r="AN198" s="96" t="n"/>
    </row>
    <row r="199" hidden="1">
      <c r="A199" s="96" t="n"/>
      <c r="B199" s="96" t="n"/>
      <c r="C199" s="96" t="n"/>
      <c r="D199" s="96" t="n"/>
      <c r="E199" s="96" t="n"/>
      <c r="F199" s="96" t="n"/>
      <c r="G199" s="96" t="n"/>
      <c r="H199" s="96" t="n"/>
      <c r="I199" s="96" t="n"/>
      <c r="J199" s="96" t="n"/>
      <c r="K199" s="96" t="n"/>
      <c r="L199" s="96" t="n"/>
      <c r="M199" s="96" t="n"/>
      <c r="N199" s="96" t="n"/>
      <c r="O199" s="96" t="n"/>
      <c r="P199" s="96" t="n"/>
      <c r="Q199" s="96" t="n"/>
      <c r="R199" s="96" t="n"/>
      <c r="S199" s="96" t="n"/>
      <c r="T199" s="96" t="n"/>
      <c r="U199" s="96" t="n"/>
      <c r="V199" s="96" t="n"/>
      <c r="W199" s="96" t="n"/>
      <c r="X199" s="96" t="n"/>
      <c r="Y199" s="96" t="n"/>
      <c r="Z199" s="96" t="n"/>
      <c r="AA199" s="96" t="n"/>
      <c r="AB199" s="96" t="n"/>
      <c r="AC199" s="96" t="n"/>
      <c r="AD199" s="96" t="n"/>
      <c r="AE199" s="96" t="n"/>
      <c r="AF199" s="96" t="n"/>
      <c r="AG199" s="96" t="n"/>
      <c r="AH199" s="96" t="n"/>
      <c r="AI199" s="96" t="n"/>
      <c r="AJ199" s="96" t="n"/>
      <c r="AK199" s="96" t="n"/>
      <c r="AL199" s="96" t="n"/>
      <c r="AM199" s="96" t="n"/>
      <c r="AN199" s="96" t="n"/>
    </row>
    <row r="200">
      <c r="A200" s="96" t="n"/>
      <c r="B200" s="96" t="n"/>
      <c r="C200" s="96" t="n"/>
      <c r="D200" s="96" t="n"/>
      <c r="E200" s="96" t="n"/>
      <c r="F200" s="96" t="n"/>
      <c r="G200" s="96" t="n"/>
      <c r="H200" s="96" t="n"/>
      <c r="I200" s="96" t="n"/>
      <c r="J200" s="96" t="n"/>
      <c r="K200" s="96" t="n"/>
      <c r="L200" s="96" t="n"/>
      <c r="M200" s="96" t="n"/>
      <c r="N200" s="96" t="n"/>
      <c r="O200" s="96" t="n"/>
      <c r="P200" s="96" t="n"/>
      <c r="Q200" s="96" t="n"/>
      <c r="R200" s="96" t="n"/>
      <c r="S200" s="96" t="n"/>
      <c r="T200" s="96" t="n"/>
      <c r="U200" s="96" t="n"/>
      <c r="V200" s="96" t="n"/>
      <c r="W200" s="96" t="n"/>
      <c r="X200" s="96" t="n"/>
      <c r="Y200" s="96" t="n"/>
      <c r="Z200" s="96" t="n"/>
      <c r="AA200" s="96" t="n"/>
      <c r="AB200" s="96" t="n"/>
      <c r="AC200" s="96" t="n"/>
      <c r="AD200" s="96" t="n"/>
      <c r="AE200" s="96" t="n"/>
      <c r="AF200" s="96" t="n"/>
      <c r="AG200" s="96" t="n"/>
      <c r="AH200" s="96" t="n"/>
      <c r="AI200" s="96" t="n"/>
      <c r="AJ200" s="96" t="n"/>
      <c r="AK200" s="96" t="n"/>
      <c r="AL200" s="96" t="n"/>
      <c r="AM200" s="96" t="n"/>
      <c r="AN200" s="96" t="n"/>
    </row>
  </sheetData>
  <sheetProtection selectLockedCells="0" selectUnlockedCells="0" sheet="1" objects="0" insertRows="1" insertHyperlinks="1" autoFilter="1" scenarios="0" formatColumns="1" deleteColumns="1" insertColumns="1" pivotTables="1" deleteRows="1" formatCells="1" formatRows="1" sort="1"/>
  <mergeCells count="22">
    <mergeCell ref="A16:L16"/>
    <mergeCell ref="F5:H5"/>
    <mergeCell ref="B8:D8"/>
    <mergeCell ref="F8:H8"/>
    <mergeCell ref="J4:L4"/>
    <mergeCell ref="J9:L9"/>
    <mergeCell ref="B13:D13"/>
    <mergeCell ref="A18:L18"/>
    <mergeCell ref="A2:L2"/>
    <mergeCell ref="F13:H13"/>
    <mergeCell ref="B9:D9"/>
    <mergeCell ref="F9:H9"/>
    <mergeCell ref="J12:L12"/>
    <mergeCell ref="B5:D5"/>
    <mergeCell ref="B4:D4"/>
    <mergeCell ref="F4:H4"/>
    <mergeCell ref="J8:L8"/>
    <mergeCell ref="B12:D12"/>
    <mergeCell ref="J5:L5"/>
    <mergeCell ref="J13:L13"/>
    <mergeCell ref="A1:L1"/>
    <mergeCell ref="F12:H12"/>
  </mergeCells>
  <pageMargins left="0.75" right="0.75" top="1" bottom="1" header="0.5" footer="0.5"/>
</worksheet>
</file>

<file path=xl/worksheets/sheet2.xml><?xml version="1.0" encoding="utf-8"?>
<worksheet xmlns="http://schemas.openxmlformats.org/spreadsheetml/2006/main">
  <sheetPr>
    <tabColor rgb="001B2A4A"/>
    <outlinePr summaryBelow="1" summaryRight="1"/>
    <pageSetUpPr/>
  </sheetPr>
  <dimension ref="A1:C45"/>
  <sheetViews>
    <sheetView showGridLines="0" tabSelected="0" workbookViewId="0">
      <selection activeCell="A1" sqref="A1"/>
    </sheetView>
  </sheetViews>
  <sheetFormatPr baseColWidth="8" defaultRowHeight="15"/>
  <cols>
    <col width="3" customWidth="1" min="1" max="1"/>
    <col width="72" customWidth="1" min="2" max="2"/>
    <col width="3" customWidth="1" min="3" max="3"/>
  </cols>
  <sheetData>
    <row r="1" ht="38" customHeight="1">
      <c r="A1" s="93" t="inlineStr">
        <is>
          <t>MyClearBudget — Getting Started</t>
        </is>
      </c>
      <c r="C1" s="96" t="n"/>
    </row>
    <row r="2" ht="22" customHeight="1">
      <c r="A2" s="95" t="inlineStr">
        <is>
          <t>BRRRR Strategy Calculator — Read This First</t>
        </is>
      </c>
      <c r="C2" s="97" t="n"/>
    </row>
    <row r="3" ht="10" customHeight="1">
      <c r="A3" s="96" t="n"/>
      <c r="B3" s="97" t="n"/>
      <c r="C3" s="97" t="n"/>
    </row>
    <row r="4" ht="26" customHeight="1">
      <c r="A4" s="151" t="inlineStr">
        <is>
          <t xml:space="preserve">  What Is the BRRRR Strategy?</t>
        </is>
      </c>
      <c r="C4" s="97" t="n"/>
    </row>
    <row r="5" ht="72" customHeight="1">
      <c r="A5" s="152" t="inlineStr">
        <is>
          <t>BRRRR stands for Buy, Rehab, Rent, Refinance, Repeat. The strategy allows real estate investors to recycle their capital by purchasing distressed properties, renovating them to force appreciation, renting them for cash flow, and then refinancing to pull out most or all of their initial investment — then repeating the process with the same capital. Done correctly, you can build a rental portfolio with limited out-of-pocket capital.</t>
        </is>
      </c>
      <c r="C5" s="97" t="n"/>
    </row>
    <row r="6" ht="8" customHeight="1">
      <c r="A6" s="96" t="n"/>
      <c r="B6" s="97" t="n"/>
      <c r="C6" s="97" t="n"/>
    </row>
    <row r="7" ht="26" customHeight="1">
      <c r="A7" s="151" t="inlineStr">
        <is>
          <t xml:space="preserve">  How to Use This Calculator</t>
        </is>
      </c>
      <c r="C7" s="97" t="n"/>
    </row>
    <row r="8" ht="50" customHeight="1">
      <c r="A8" s="152" t="inlineStr">
        <is>
          <t>📌  Step 1 — Purchase &amp; Rehab
Enter your purchase price, closing costs, and renovation budget. This establishes your total cash invested.</t>
        </is>
      </c>
      <c r="C8" s="97" t="n"/>
    </row>
    <row r="9" ht="50" customHeight="1">
      <c r="A9" s="152" t="inlineStr">
        <is>
          <t>📌  Step 2 — Rental Income &amp; Expenses
Enter projected monthly rents and all operating expenses. The calculator handles vacancy and auto-calculates totals.</t>
        </is>
      </c>
      <c r="C9" s="97" t="n"/>
    </row>
    <row r="10" ht="50" customHeight="1">
      <c r="A10" s="152" t="inlineStr">
        <is>
          <t>📌  Step 3 — Refinance Analysis
Enter your After Repair Value, lender LTV, interest rate, and loan term. The calculator shows how much capital you recover.</t>
        </is>
      </c>
      <c r="C10" s="97" t="n"/>
    </row>
    <row r="11" ht="50" customHeight="1">
      <c r="A11" s="152" t="inlineStr">
        <is>
          <t>📌  Step 4 — Cash Flow Analysis
All values pull automatically from Steps 1–3. Review your monthly cash flow, annual returns, and DSCR. Nothing to enter here.</t>
        </is>
      </c>
      <c r="C11" s="97" t="n"/>
    </row>
    <row r="12" ht="50" customHeight="1">
      <c r="A12" s="152" t="inlineStr">
        <is>
          <t>📌  Step 5 — BRRRR Scorecard
Get a pass/fail verdict on every key metric. See at a glance whether this is a deal worth pursuing.</t>
        </is>
      </c>
      <c r="C12" s="97" t="n"/>
    </row>
    <row r="13" ht="50" customHeight="1">
      <c r="A13" s="152" t="inlineStr">
        <is>
          <t>📌  Step 6 — Dashboard
All KPI cards and the chart update automatically as you enter data. Return here to see the full picture.</t>
        </is>
      </c>
      <c r="C13" s="97" t="n"/>
    </row>
    <row r="14" ht="8" customHeight="1">
      <c r="A14" s="96" t="n"/>
      <c r="B14" s="97" t="n"/>
      <c r="C14" s="97" t="n"/>
    </row>
    <row r="15" ht="26" customHeight="1">
      <c r="A15" s="151" t="inlineStr">
        <is>
          <t xml:space="preserve">  Color Guide</t>
        </is>
      </c>
      <c r="C15" s="97" t="n"/>
    </row>
    <row r="16" ht="32" customHeight="1">
      <c r="A16" s="152" t="inlineStr">
        <is>
          <t>🟡  Yellow cells — Enter your inputs here. These are the only cells you should type in.</t>
        </is>
      </c>
      <c r="C16" s="97" t="n"/>
    </row>
    <row r="17" ht="32" customHeight="1">
      <c r="A17" s="152" t="inlineStr">
        <is>
          <t>🔵  Blue cells — Auto-calculated from your inputs. Do not edit these cells.</t>
        </is>
      </c>
      <c r="C17" s="97" t="n"/>
    </row>
    <row r="18" ht="32" customHeight="1">
      <c r="A18" s="152" t="inlineStr">
        <is>
          <t>🟦  Navy background rows — Section headers and key output totals.</t>
        </is>
      </c>
      <c r="C18" s="97" t="n"/>
    </row>
    <row r="19" ht="32" customHeight="1">
      <c r="A19" s="152" t="inlineStr">
        <is>
          <t>🟢  Green — Positive result or passing metric on the scorecard.</t>
        </is>
      </c>
      <c r="C19" s="97" t="n"/>
    </row>
    <row r="20" ht="32" customHeight="1">
      <c r="A20" s="152" t="inlineStr">
        <is>
          <t>🔴  Red — Negative result or failing metric. Review your inputs.</t>
        </is>
      </c>
      <c r="C20" s="97" t="n"/>
    </row>
    <row r="21" ht="8" customHeight="1">
      <c r="A21" s="96" t="n"/>
      <c r="B21" s="97" t="n"/>
      <c r="C21" s="97" t="n"/>
    </row>
    <row r="22" ht="26" customHeight="1">
      <c r="A22" s="151" t="inlineStr">
        <is>
          <t xml:space="preserve">  Key Concepts</t>
        </is>
      </c>
      <c r="C22" s="97" t="n"/>
    </row>
    <row r="23" ht="52" customHeight="1">
      <c r="A23" s="152" t="inlineStr">
        <is>
          <t>After Repair Value (ARV)
The estimated market value of the property after all renovations are complete. This is the basis for your refinance loan amount.</t>
        </is>
      </c>
      <c r="C23" s="97" t="n"/>
    </row>
    <row r="24" ht="52" customHeight="1">
      <c r="A24" s="152" t="inlineStr">
        <is>
          <t>Cash-on-Cash Return
Annual cash flow divided by the cash you have remaining in the deal after refinancing. If you pulled out all your capital, this is mathematically infinite — the goal of BRRRR.</t>
        </is>
      </c>
      <c r="C24" s="97" t="n"/>
    </row>
    <row r="25" ht="52" customHeight="1">
      <c r="A25" s="152" t="inlineStr">
        <is>
          <t>DSCR (Debt Service Coverage Ratio)
Monthly rental income divided by your monthly mortgage payment. Lenders want to see this above 1.25. Below 1.0 means the property cannot cover its own debt.</t>
        </is>
      </c>
      <c r="C25" s="97" t="n"/>
    </row>
    <row r="26" ht="52" customHeight="1">
      <c r="A26" s="152" t="inlineStr">
        <is>
          <t>Infinite Return
When the cash recovered at refinance equals or exceeds your total investment, you have zero capital remaining in the deal. Any return earned is technically infinite.</t>
        </is>
      </c>
      <c r="C26" s="97" t="n"/>
    </row>
    <row r="27" ht="8" customHeight="1">
      <c r="A27" s="96" t="n"/>
      <c r="B27" s="97" t="n"/>
      <c r="C27" s="97" t="n"/>
    </row>
    <row r="28" ht="26" customHeight="1">
      <c r="A28" s="151" t="inlineStr">
        <is>
          <t xml:space="preserve">  ⚠️  Important Disclaimers</t>
        </is>
      </c>
      <c r="C28" s="97" t="n"/>
    </row>
    <row r="29" ht="72" customHeight="1">
      <c r="A29" s="152" t="inlineStr">
        <is>
          <t>This calculator is for educational and estimation purposes only. Always consult a licensed real estate professional, lender, and CPA before making investment decisions. Market conditions, lender requirements, and local regulations vary significantly. The assumptions in this calculator may not reflect your specific market or situation.</t>
        </is>
      </c>
      <c r="C29" s="97" t="n"/>
    </row>
    <row r="30" ht="18" customHeight="1">
      <c r="A30" s="96" t="n"/>
      <c r="B30" s="97" t="n"/>
      <c r="C30" s="97" t="n"/>
    </row>
    <row r="31" ht="18" customHeight="1">
      <c r="A31" s="96" t="n"/>
      <c r="B31" s="97" t="n"/>
      <c r="C31" s="97" t="n"/>
    </row>
    <row r="32" ht="18" customHeight="1">
      <c r="A32" s="96" t="n"/>
      <c r="B32" s="97" t="n"/>
      <c r="C32" s="97" t="n"/>
    </row>
    <row r="33" ht="18" customHeight="1">
      <c r="A33" s="96" t="n"/>
      <c r="B33" s="97" t="n"/>
      <c r="C33" s="97" t="n"/>
    </row>
    <row r="34" ht="10" customHeight="1">
      <c r="A34" s="96" t="n"/>
      <c r="B34" s="97" t="n"/>
      <c r="C34" s="97" t="n"/>
    </row>
    <row r="35" ht="22" customHeight="1">
      <c r="A35" s="96" t="n"/>
      <c r="B35" s="97" t="n"/>
      <c r="C35" s="97" t="n"/>
    </row>
    <row r="36" ht="18" customHeight="1">
      <c r="A36" s="96" t="n"/>
      <c r="B36" s="97" t="n"/>
      <c r="C36" s="97" t="n"/>
    </row>
    <row r="37" ht="18" customHeight="1">
      <c r="A37" s="96" t="n"/>
      <c r="B37" s="97" t="n"/>
      <c r="C37" s="97" t="n"/>
    </row>
    <row r="38" ht="18" customHeight="1">
      <c r="A38" s="96" t="n"/>
      <c r="B38" s="97" t="n"/>
      <c r="C38" s="97" t="n"/>
    </row>
    <row r="39" ht="18" customHeight="1">
      <c r="A39" s="96" t="n"/>
      <c r="B39" s="97" t="n"/>
      <c r="C39" s="97" t="n"/>
    </row>
    <row r="40" ht="18" customHeight="1">
      <c r="A40" s="96" t="n"/>
      <c r="B40" s="97" t="n"/>
      <c r="C40" s="97" t="n"/>
    </row>
    <row r="41" ht="18" customHeight="1">
      <c r="A41" s="96" t="n"/>
      <c r="B41" s="97" t="n"/>
      <c r="C41" s="97" t="n"/>
    </row>
    <row r="42" ht="10" customHeight="1">
      <c r="A42" s="96" t="n"/>
      <c r="B42" s="97" t="n"/>
      <c r="C42" s="97" t="n"/>
    </row>
    <row r="43" ht="22" customHeight="1">
      <c r="A43" s="96" t="n"/>
      <c r="B43" s="97" t="n"/>
      <c r="C43" s="97" t="n"/>
    </row>
    <row r="44" ht="18" customHeight="1">
      <c r="A44" s="96" t="n"/>
      <c r="B44" s="97" t="n"/>
      <c r="C44" s="97" t="n"/>
    </row>
    <row r="45" ht="18" customHeight="1">
      <c r="A45" s="96" t="n"/>
      <c r="B45" s="97" t="n"/>
      <c r="C45" s="97" t="n"/>
    </row>
  </sheetData>
  <sheetProtection selectLockedCells="0" selectUnlockedCells="0" sheet="1" objects="0" insertRows="1" insertHyperlinks="1" autoFilter="1" scenarios="0" formatColumns="1" deleteColumns="1" insertColumns="1" pivotTables="1" deleteRows="1" formatCells="1" formatRows="1" sort="1"/>
  <mergeCells count="24">
    <mergeCell ref="A24:B24"/>
    <mergeCell ref="A15:B15"/>
    <mergeCell ref="A11:B11"/>
    <mergeCell ref="A1:B1"/>
    <mergeCell ref="A16:B16"/>
    <mergeCell ref="A7:B7"/>
    <mergeCell ref="A25:B25"/>
    <mergeCell ref="A18:B18"/>
    <mergeCell ref="A12:B12"/>
    <mergeCell ref="A26:B26"/>
    <mergeCell ref="A2:B2"/>
    <mergeCell ref="A5:B5"/>
    <mergeCell ref="A23:B23"/>
    <mergeCell ref="A17:B17"/>
    <mergeCell ref="A8:B8"/>
    <mergeCell ref="A22:B22"/>
    <mergeCell ref="A4:B4"/>
    <mergeCell ref="A20:B20"/>
    <mergeCell ref="A29:B29"/>
    <mergeCell ref="A19:B19"/>
    <mergeCell ref="A10:B10"/>
    <mergeCell ref="A28:B28"/>
    <mergeCell ref="A13:B13"/>
    <mergeCell ref="A9:B9"/>
  </mergeCell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24"/>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Purchase &amp; Rehab</t>
        </is>
      </c>
      <c r="G1" s="96" t="n"/>
    </row>
    <row r="2" ht="22" customHeight="1">
      <c r="A2" s="95" t="inlineStr">
        <is>
          <t>BRRRR Strategy Calculator — Step 1: What did you buy and invest?</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ACQUISITION COSTS</t>
        </is>
      </c>
      <c r="G6" s="96" t="n"/>
    </row>
    <row r="7" ht="22" customHeight="1">
      <c r="A7" s="96" t="n"/>
      <c r="B7" s="109" t="inlineStr">
        <is>
          <t>Purchase Price</t>
        </is>
      </c>
      <c r="C7" s="110" t="n">
        <v>85000</v>
      </c>
      <c r="D7" s="148" t="n"/>
      <c r="E7" s="153" t="inlineStr">
        <is>
          <t>The price you paid for the property</t>
        </is>
      </c>
      <c r="F7" s="54" t="n"/>
      <c r="G7" s="54" t="n"/>
      <c r="H7" s="54" t="n"/>
    </row>
    <row r="8" ht="22" customHeight="1">
      <c r="A8" s="96" t="n"/>
      <c r="B8" s="109" t="inlineStr">
        <is>
          <t>Purchase Closing Costs</t>
        </is>
      </c>
      <c r="C8" s="110" t="n">
        <v>2500</v>
      </c>
      <c r="D8" s="148" t="n"/>
      <c r="E8" s="153" t="inlineStr">
        <is>
          <t>Title, escrow, lender fees, etc.</t>
        </is>
      </c>
      <c r="F8" s="54" t="n"/>
      <c r="G8" s="54" t="n"/>
      <c r="H8" s="54" t="n"/>
    </row>
    <row r="9" ht="22" customHeight="1">
      <c r="A9" s="96" t="n"/>
      <c r="B9" s="109" t="inlineStr">
        <is>
          <t>Total Acquisition Cost</t>
        </is>
      </c>
      <c r="C9" s="112">
        <f>C7+C8</f>
        <v/>
      </c>
      <c r="D9" s="148" t="n"/>
      <c r="E9" s="153" t="inlineStr">
        <is>
          <t>Auto-calculated</t>
        </is>
      </c>
      <c r="F9" s="54" t="n"/>
      <c r="G9" s="54" t="n"/>
      <c r="H9" s="54" t="n"/>
    </row>
    <row r="10" ht="8" customHeight="1">
      <c r="A10" s="96" t="n"/>
      <c r="B10" s="97" t="n"/>
      <c r="C10" s="96" t="n"/>
      <c r="D10" s="96" t="n"/>
      <c r="E10" s="96" t="n"/>
      <c r="F10" s="96" t="n"/>
      <c r="G10" s="97" t="n"/>
    </row>
    <row r="11" ht="24" customHeight="1">
      <c r="A11" s="108" t="inlineStr">
        <is>
          <t xml:space="preserve">  REHAB &amp; RENOVATION</t>
        </is>
      </c>
      <c r="G11" s="96" t="n"/>
    </row>
    <row r="12" ht="22" customHeight="1">
      <c r="A12" s="96" t="n"/>
      <c r="B12" s="109" t="inlineStr">
        <is>
          <t>Rehab / Renovation Budget</t>
        </is>
      </c>
      <c r="C12" s="110" t="n">
        <v>22000</v>
      </c>
      <c r="D12" s="148" t="n"/>
      <c r="E12" s="153" t="inlineStr">
        <is>
          <t>Total estimated renovation costs</t>
        </is>
      </c>
      <c r="F12" s="54" t="n"/>
      <c r="G12" s="54" t="n"/>
      <c r="H12" s="54" t="n"/>
    </row>
    <row r="13" ht="22" customHeight="1">
      <c r="A13" s="96" t="n"/>
      <c r="B13" s="109" t="inlineStr">
        <is>
          <t>Contingency %</t>
        </is>
      </c>
      <c r="C13" s="113" t="n">
        <v>0.1</v>
      </c>
      <c r="D13" s="148" t="n"/>
      <c r="E13" s="153" t="inlineStr">
        <is>
          <t>10% buffer recommended for overruns</t>
        </is>
      </c>
      <c r="F13" s="54" t="n"/>
      <c r="G13" s="54" t="n"/>
      <c r="H13" s="54" t="n"/>
    </row>
    <row r="14" ht="22" customHeight="1">
      <c r="A14" s="96" t="n"/>
      <c r="B14" s="109" t="inlineStr">
        <is>
          <t>Contingency Amount</t>
        </is>
      </c>
      <c r="C14" s="114">
        <f>C12*C13</f>
        <v/>
      </c>
      <c r="D14" s="148" t="n"/>
      <c r="E14" s="153" t="inlineStr">
        <is>
          <t>Auto-calculated</t>
        </is>
      </c>
      <c r="F14" s="54" t="n"/>
      <c r="G14" s="54" t="n"/>
      <c r="H14" s="54" t="n"/>
    </row>
    <row r="15" ht="22" customHeight="1">
      <c r="A15" s="96" t="n"/>
      <c r="B15" s="109" t="inlineStr">
        <is>
          <t>Total Rehab Cost</t>
        </is>
      </c>
      <c r="C15" s="112">
        <f>C12+C14</f>
        <v/>
      </c>
      <c r="D15" s="148" t="n"/>
      <c r="E15" s="153" t="inlineStr">
        <is>
          <t>Budget + contingency</t>
        </is>
      </c>
      <c r="F15" s="54" t="n"/>
      <c r="G15" s="54" t="n"/>
      <c r="H15" s="54" t="n"/>
    </row>
    <row r="16" ht="8" customHeight="1">
      <c r="A16" s="96" t="n"/>
      <c r="B16" s="97" t="n"/>
      <c r="C16" s="96" t="n"/>
      <c r="D16" s="96" t="n"/>
      <c r="E16" s="96" t="n"/>
      <c r="F16" s="96" t="n"/>
      <c r="G16" s="97" t="n"/>
    </row>
    <row r="17" ht="24" customHeight="1">
      <c r="A17" s="108" t="inlineStr">
        <is>
          <t xml:space="preserve">  TOTAL INVESTMENT</t>
        </is>
      </c>
      <c r="G17" s="96" t="n"/>
    </row>
    <row r="18" ht="22" customHeight="1">
      <c r="A18" s="96" t="n"/>
      <c r="B18" s="109" t="inlineStr">
        <is>
          <t>Total Cash Invested</t>
        </is>
      </c>
      <c r="C18" s="115">
        <f>C9+C15</f>
        <v/>
      </c>
      <c r="D18" s="148" t="n"/>
      <c r="E18" s="153" t="inlineStr">
        <is>
          <t>Acquisition + Rehab</t>
        </is>
      </c>
      <c r="F18" s="54" t="n"/>
      <c r="G18" s="54" t="n"/>
      <c r="H18" s="54" t="n"/>
    </row>
    <row r="19" ht="20" customHeight="1">
      <c r="A19" s="96" t="n"/>
      <c r="B19" s="97" t="n"/>
      <c r="C19" s="97" t="n"/>
      <c r="D19" s="102" t="n"/>
      <c r="E19" s="97" t="n"/>
      <c r="F19" s="97" t="n"/>
      <c r="G19" s="97" t="n"/>
    </row>
    <row r="20" ht="20" customHeight="1">
      <c r="A20" s="96" t="n"/>
      <c r="B20" s="97" t="n"/>
      <c r="C20" s="97" t="n"/>
      <c r="D20" s="116" t="n"/>
      <c r="E20" s="97" t="n"/>
      <c r="F20" s="97" t="n"/>
      <c r="G20" s="97" t="n"/>
    </row>
    <row r="21" ht="20" customHeight="1">
      <c r="A21" s="96" t="n"/>
      <c r="B21" s="97" t="n"/>
      <c r="C21" s="97" t="n"/>
      <c r="D21" s="117" t="n"/>
      <c r="E21" s="97" t="n"/>
      <c r="F21" s="97" t="n"/>
      <c r="G21" s="97" t="n"/>
    </row>
    <row r="22" ht="20" customHeight="1">
      <c r="A22" s="96" t="n"/>
      <c r="B22" s="97" t="n"/>
      <c r="C22" s="97" t="n"/>
      <c r="D22" s="102" t="n"/>
      <c r="E22" s="97" t="n"/>
      <c r="F22" s="97" t="n"/>
      <c r="G22" s="97" t="n"/>
    </row>
    <row r="23" ht="10" customHeight="1">
      <c r="A23" s="96" t="n"/>
      <c r="B23" s="97" t="n"/>
      <c r="C23" s="97" t="n"/>
      <c r="D23" s="97" t="n"/>
      <c r="E23" s="97" t="n"/>
      <c r="F23" s="97" t="n"/>
      <c r="G23" s="97" t="n"/>
    </row>
    <row r="24" ht="24" customHeight="1">
      <c r="A24" s="96" t="n"/>
      <c r="B24" s="97" t="n"/>
      <c r="C24" s="96" t="n"/>
      <c r="D24" s="96" t="n"/>
      <c r="E24" s="102" t="n"/>
      <c r="F24" s="97" t="n"/>
      <c r="G24" s="97" t="n"/>
    </row>
  </sheetData>
  <sheetProtection selectLockedCells="0" selectUnlockedCells="0" sheet="1" objects="0" insertRows="1" insertHyperlinks="1" autoFilter="1" scenarios="0" formatColumns="1" deleteColumns="1" insertColumns="1" pivotTables="1" deleteRows="1" formatCells="1" formatRows="1" sort="1"/>
  <mergeCells count="22">
    <mergeCell ref="C15:D15"/>
    <mergeCell ref="C14:D14"/>
    <mergeCell ref="E7:H7"/>
    <mergeCell ref="A2:F2"/>
    <mergeCell ref="E18:H18"/>
    <mergeCell ref="E12:H12"/>
    <mergeCell ref="A17:F17"/>
    <mergeCell ref="A4:F4"/>
    <mergeCell ref="C9:D9"/>
    <mergeCell ref="E14:H14"/>
    <mergeCell ref="C12:D12"/>
    <mergeCell ref="E8:H8"/>
    <mergeCell ref="C8:D8"/>
    <mergeCell ref="E13:H13"/>
    <mergeCell ref="A11:F11"/>
    <mergeCell ref="E9:H9"/>
    <mergeCell ref="C7:D7"/>
    <mergeCell ref="A1:F1"/>
    <mergeCell ref="A6:F6"/>
    <mergeCell ref="E15:H15"/>
    <mergeCell ref="C13:D13"/>
    <mergeCell ref="C18:D18"/>
  </mergeCell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29"/>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Rental Income &amp; Expenses</t>
        </is>
      </c>
      <c r="G1" s="96" t="n"/>
    </row>
    <row r="2" ht="22" customHeight="1">
      <c r="A2" s="95" t="inlineStr">
        <is>
          <t>BRRRR Strategy Calculator — Step 2: What will the property generate?</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RENTAL INCOME</t>
        </is>
      </c>
      <c r="G6" s="96" t="n"/>
    </row>
    <row r="7" ht="22" customHeight="1">
      <c r="A7" s="96" t="n"/>
      <c r="B7" s="109" t="inlineStr">
        <is>
          <t>Monthly Gross Rent</t>
        </is>
      </c>
      <c r="C7" s="110" t="n">
        <v>1800</v>
      </c>
      <c r="D7" s="148" t="n"/>
      <c r="E7" s="153" t="inlineStr">
        <is>
          <t>Full market rent (before vacancy)</t>
        </is>
      </c>
      <c r="F7" s="54" t="n"/>
      <c r="G7" s="54" t="n"/>
      <c r="H7" s="54" t="n"/>
    </row>
    <row r="8" ht="22" customHeight="1">
      <c r="A8" s="96" t="n"/>
      <c r="B8" s="109" t="inlineStr">
        <is>
          <t>Vacancy Rate %</t>
        </is>
      </c>
      <c r="C8" s="113" t="n">
        <v>0.05</v>
      </c>
      <c r="D8" s="148" t="n"/>
      <c r="E8" s="153" t="inlineStr">
        <is>
          <t>5-10% standard for most markets</t>
        </is>
      </c>
      <c r="F8" s="54" t="n"/>
      <c r="G8" s="54" t="n"/>
      <c r="H8" s="54" t="n"/>
    </row>
    <row r="9" ht="22" customHeight="1">
      <c r="A9" s="96" t="n"/>
      <c r="B9" s="109" t="inlineStr">
        <is>
          <t>Effective Gross Income/Mo</t>
        </is>
      </c>
      <c r="C9" s="112">
        <f>C7*(1-C8)</f>
        <v/>
      </c>
      <c r="D9" s="148" t="n"/>
      <c r="E9" s="153" t="inlineStr">
        <is>
          <t>Gross rent minus vacancy adjustment</t>
        </is>
      </c>
      <c r="F9" s="54" t="n"/>
      <c r="G9" s="54" t="n"/>
      <c r="H9" s="54" t="n"/>
    </row>
    <row r="10" ht="8" customHeight="1">
      <c r="A10" s="96" t="n"/>
      <c r="B10" s="97" t="n"/>
      <c r="C10" s="97" t="n"/>
      <c r="D10" s="97" t="n"/>
      <c r="E10" s="97" t="n"/>
      <c r="F10" s="97" t="n"/>
      <c r="G10" s="97" t="n"/>
    </row>
    <row r="11" ht="24" customHeight="1">
      <c r="A11" s="108" t="inlineStr">
        <is>
          <t xml:space="preserve">  MONTHLY OPERATING EXPENSES</t>
        </is>
      </c>
      <c r="G11" s="97" t="n"/>
    </row>
    <row r="12" ht="22" customHeight="1">
      <c r="A12" s="96" t="n"/>
      <c r="B12" s="109" t="inlineStr">
        <is>
          <t>Property Management %</t>
        </is>
      </c>
      <c r="C12" s="118" t="n">
        <v>0.08</v>
      </c>
      <c r="D12" s="150" t="n"/>
      <c r="E12" s="119" t="inlineStr">
        <is>
          <t>8% of gross rent (standard)</t>
        </is>
      </c>
    </row>
    <row r="13" ht="22" customHeight="1">
      <c r="A13" s="96" t="n"/>
      <c r="B13" s="109" t="inlineStr">
        <is>
          <t>Property Management $</t>
        </is>
      </c>
      <c r="C13" s="114">
        <f>C7*C12</f>
        <v/>
      </c>
      <c r="D13" s="148" t="n"/>
      <c r="E13" s="153" t="inlineStr">
        <is>
          <t>Auto-calculated</t>
        </is>
      </c>
      <c r="F13" s="54" t="n"/>
      <c r="G13" s="54" t="n"/>
      <c r="H13" s="54" t="n"/>
    </row>
    <row r="14" ht="22" customHeight="1">
      <c r="A14" s="96" t="n"/>
      <c r="B14" s="109" t="inlineStr">
        <is>
          <t>Property Taxes / Mo</t>
        </is>
      </c>
      <c r="C14" s="110" t="n">
        <v>200</v>
      </c>
      <c r="D14" s="148" t="n"/>
      <c r="E14" s="153" t="inlineStr">
        <is>
          <t>Annual taxes ÷ 12</t>
        </is>
      </c>
      <c r="F14" s="54" t="n"/>
      <c r="G14" s="54" t="n"/>
      <c r="H14" s="54" t="n"/>
    </row>
    <row r="15" ht="22" customHeight="1">
      <c r="A15" s="96" t="n"/>
      <c r="B15" s="109" t="inlineStr">
        <is>
          <t>Insurance / Mo</t>
        </is>
      </c>
      <c r="C15" s="110" t="n">
        <v>100</v>
      </c>
      <c r="D15" s="148" t="n"/>
      <c r="E15" s="153" t="inlineStr">
        <is>
          <t>Annual insurance ÷ 12</t>
        </is>
      </c>
      <c r="F15" s="54" t="n"/>
      <c r="G15" s="54" t="n"/>
      <c r="H15" s="54" t="n"/>
    </row>
    <row r="16" ht="22" customHeight="1">
      <c r="A16" s="96" t="n"/>
      <c r="B16" s="109" t="inlineStr">
        <is>
          <t>Maintenance Reserve %</t>
        </is>
      </c>
      <c r="C16" s="113" t="n">
        <v>0.05</v>
      </c>
      <c r="D16" s="148" t="n"/>
      <c r="E16" s="153" t="inlineStr">
        <is>
          <t>5% of gross rent recommended</t>
        </is>
      </c>
      <c r="F16" s="54" t="n"/>
      <c r="G16" s="54" t="n"/>
      <c r="H16" s="54" t="n"/>
    </row>
    <row r="17" ht="22" customHeight="1">
      <c r="A17" s="96" t="n"/>
      <c r="B17" s="109" t="inlineStr">
        <is>
          <t>Maintenance Reserve $</t>
        </is>
      </c>
      <c r="C17" s="114">
        <f>C7*C16</f>
        <v/>
      </c>
      <c r="D17" s="148" t="n"/>
      <c r="E17" s="153" t="inlineStr">
        <is>
          <t>Auto-calculated</t>
        </is>
      </c>
      <c r="F17" s="54" t="n"/>
      <c r="G17" s="54" t="n"/>
      <c r="H17" s="54" t="n"/>
    </row>
    <row r="18" ht="22" customHeight="1">
      <c r="A18" s="96" t="n"/>
      <c r="B18" s="109" t="inlineStr">
        <is>
          <t>CapEx Reserve %</t>
        </is>
      </c>
      <c r="C18" s="113" t="n">
        <v>0.05</v>
      </c>
      <c r="D18" s="148" t="n"/>
      <c r="E18" s="153" t="inlineStr">
        <is>
          <t>5% of gross rent for capital reserves</t>
        </is>
      </c>
      <c r="F18" s="54" t="n"/>
      <c r="G18" s="54" t="n"/>
      <c r="H18" s="54" t="n"/>
    </row>
    <row r="19" ht="22" customHeight="1">
      <c r="A19" s="96" t="n"/>
      <c r="B19" s="109" t="inlineStr">
        <is>
          <t>CapEx Reserve $</t>
        </is>
      </c>
      <c r="C19" s="114">
        <f>C7*C18</f>
        <v/>
      </c>
      <c r="D19" s="148" t="n"/>
      <c r="E19" s="153" t="inlineStr">
        <is>
          <t>Auto-calculated</t>
        </is>
      </c>
      <c r="F19" s="54" t="n"/>
      <c r="G19" s="54" t="n"/>
      <c r="H19" s="54" t="n"/>
    </row>
    <row r="20" ht="22" customHeight="1">
      <c r="A20" s="96" t="n"/>
      <c r="B20" s="109" t="inlineStr">
        <is>
          <t>Other Expenses / Mo</t>
        </is>
      </c>
      <c r="C20" s="110" t="n">
        <v>0</v>
      </c>
      <c r="D20" s="148" t="n"/>
      <c r="E20" s="153" t="inlineStr">
        <is>
          <t>Utilities, HOA, other costs</t>
        </is>
      </c>
      <c r="F20" s="54" t="n"/>
      <c r="G20" s="54" t="n"/>
      <c r="H20" s="54" t="n"/>
    </row>
    <row r="21" ht="8" customHeight="1">
      <c r="A21" s="96" t="n"/>
      <c r="B21" s="97" t="n"/>
      <c r="C21" s="97" t="n"/>
      <c r="D21" s="102" t="n"/>
      <c r="E21" s="97" t="n"/>
      <c r="F21" s="97" t="n"/>
      <c r="G21" s="97" t="n"/>
    </row>
    <row r="22" ht="24" customHeight="1">
      <c r="A22" s="108" t="inlineStr">
        <is>
          <t xml:space="preserve">  TOTALS</t>
        </is>
      </c>
      <c r="G22" s="97" t="n"/>
    </row>
    <row r="23" ht="22" customHeight="1">
      <c r="A23" s="96" t="n"/>
      <c r="B23" s="109" t="inlineStr">
        <is>
          <t>Total Monthly Expenses</t>
        </is>
      </c>
      <c r="C23" s="112">
        <f>C13+C14+C15+C17+C19+C20</f>
        <v/>
      </c>
      <c r="D23" s="148" t="n"/>
      <c r="E23" s="153" t="inlineStr">
        <is>
          <t>Sum of all operating expenses</t>
        </is>
      </c>
      <c r="F23" s="54" t="n"/>
      <c r="G23" s="54" t="n"/>
      <c r="H23" s="54" t="n"/>
    </row>
    <row r="24" ht="22" customHeight="1">
      <c r="A24" s="96" t="n"/>
      <c r="B24" s="109" t="inlineStr">
        <is>
          <t>Net Operating Income/Mo</t>
        </is>
      </c>
      <c r="C24" s="115">
        <f>C9-C23</f>
        <v/>
      </c>
      <c r="D24" s="148" t="n"/>
      <c r="E24" s="153" t="inlineStr">
        <is>
          <t>EGI minus total expenses</t>
        </is>
      </c>
      <c r="F24" s="54" t="n"/>
      <c r="G24" s="54" t="n"/>
      <c r="H24" s="54" t="n"/>
    </row>
    <row r="25" ht="8" customHeight="1">
      <c r="A25" s="96" t="n"/>
      <c r="B25" s="97" t="n"/>
      <c r="C25" s="97" t="n"/>
      <c r="D25" s="97" t="n"/>
      <c r="E25" s="97" t="n"/>
      <c r="F25" s="97" t="n"/>
      <c r="G25" s="97" t="n"/>
    </row>
    <row r="26" ht="22" customHeight="1">
      <c r="A26" s="96" t="n"/>
      <c r="B26" s="97" t="n"/>
      <c r="C26" s="96" t="n"/>
      <c r="D26" s="96" t="n"/>
      <c r="E26" s="96" t="n"/>
      <c r="F26" s="96" t="n"/>
      <c r="G26" s="97" t="n"/>
    </row>
    <row r="27" ht="20" customHeight="1">
      <c r="A27" s="96" t="n"/>
      <c r="B27" s="97" t="n"/>
      <c r="C27" s="97" t="n"/>
      <c r="D27" s="102" t="n"/>
      <c r="E27" s="97" t="n"/>
      <c r="F27" s="97" t="n"/>
      <c r="G27" s="97" t="n"/>
    </row>
    <row r="28" ht="20" customHeight="1">
      <c r="A28" s="96" t="n"/>
      <c r="B28" s="97" t="n"/>
      <c r="C28" s="97" t="n"/>
      <c r="D28" s="102" t="n"/>
      <c r="E28" s="97" t="n"/>
      <c r="F28" s="97" t="n"/>
      <c r="G28" s="97" t="n"/>
    </row>
    <row r="29" ht="20" customHeight="1">
      <c r="A29" s="96" t="n"/>
      <c r="B29" s="97" t="n"/>
      <c r="C29" s="97" t="n"/>
      <c r="D29" s="120" t="n"/>
      <c r="E29" s="97" t="n"/>
      <c r="F29" s="97" t="n"/>
      <c r="G29" s="97" t="n"/>
    </row>
  </sheetData>
  <sheetProtection selectLockedCells="0" selectUnlockedCells="0" sheet="1" objects="0" insertRows="1" insertHyperlinks="1" autoFilter="1" scenarios="0" formatColumns="1" deleteColumns="1" insertColumns="1" pivotTables="1" deleteRows="1" formatCells="1" formatRows="1" sort="1"/>
  <mergeCells count="34">
    <mergeCell ref="C24:D24"/>
    <mergeCell ref="C15:D15"/>
    <mergeCell ref="E16:H16"/>
    <mergeCell ref="C14:D14"/>
    <mergeCell ref="E7:H7"/>
    <mergeCell ref="A2:F2"/>
    <mergeCell ref="C20:D20"/>
    <mergeCell ref="E18:H18"/>
    <mergeCell ref="C16:D16"/>
    <mergeCell ref="E12:H12"/>
    <mergeCell ref="A22:F22"/>
    <mergeCell ref="A4:F4"/>
    <mergeCell ref="C9:D9"/>
    <mergeCell ref="E24:H24"/>
    <mergeCell ref="E14:H14"/>
    <mergeCell ref="C12:D12"/>
    <mergeCell ref="E23:H23"/>
    <mergeCell ref="E17:H17"/>
    <mergeCell ref="E8:H8"/>
    <mergeCell ref="E20:H20"/>
    <mergeCell ref="E19:H19"/>
    <mergeCell ref="C17:D17"/>
    <mergeCell ref="C23:D23"/>
    <mergeCell ref="C8:D8"/>
    <mergeCell ref="E13:H13"/>
    <mergeCell ref="A11:F11"/>
    <mergeCell ref="E9:H9"/>
    <mergeCell ref="C7:D7"/>
    <mergeCell ref="A1:F1"/>
    <mergeCell ref="C19:D19"/>
    <mergeCell ref="A6:F6"/>
    <mergeCell ref="E15:H15"/>
    <mergeCell ref="C13:D13"/>
    <mergeCell ref="C18:D18"/>
  </mergeCell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23"/>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Refinance Analysis</t>
        </is>
      </c>
      <c r="G1" s="96" t="n"/>
    </row>
    <row r="2" ht="22" customHeight="1">
      <c r="A2" s="95" t="inlineStr">
        <is>
          <t>BRRRR Strategy Calculator — Step 3: What will the lender give you?</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PROPERTY VALUE &amp; LOAN TERMS</t>
        </is>
      </c>
      <c r="G6" s="96" t="n"/>
    </row>
    <row r="7" ht="22" customHeight="1">
      <c r="A7" s="96" t="n"/>
      <c r="B7" s="109" t="inlineStr">
        <is>
          <t>After Repair Value (ARV)</t>
        </is>
      </c>
      <c r="C7" s="110" t="n">
        <v>155000</v>
      </c>
      <c r="D7" s="148" t="n"/>
      <c r="E7" s="153" t="inlineStr">
        <is>
          <t>Supported by comparable sales</t>
        </is>
      </c>
      <c r="F7" s="54" t="n"/>
      <c r="G7" s="54" t="n"/>
      <c r="H7" s="54" t="n"/>
    </row>
    <row r="8" ht="22" customHeight="1">
      <c r="A8" s="96" t="n"/>
      <c r="B8" s="109" t="inlineStr">
        <is>
          <t>Lender LTV %</t>
        </is>
      </c>
      <c r="C8" s="113" t="n">
        <v>0.75</v>
      </c>
      <c r="D8" s="148" t="n"/>
      <c r="E8" s="153" t="inlineStr">
        <is>
          <t>75% is standard for investment property</t>
        </is>
      </c>
      <c r="F8" s="54" t="n"/>
      <c r="G8" s="54" t="n"/>
      <c r="H8" s="54" t="n"/>
    </row>
    <row r="9" ht="22" customHeight="1">
      <c r="A9" s="96" t="n"/>
      <c r="B9" s="109" t="inlineStr">
        <is>
          <t>Refinance Loan Amount</t>
        </is>
      </c>
      <c r="C9" s="114">
        <f>C7*C8</f>
        <v/>
      </c>
      <c r="D9" s="148" t="n"/>
      <c r="E9" s="153" t="inlineStr">
        <is>
          <t>ARV × LTV — auto-calculated</t>
        </is>
      </c>
      <c r="F9" s="54" t="n"/>
      <c r="G9" s="54" t="n"/>
      <c r="H9" s="54" t="n"/>
    </row>
    <row r="10" ht="22" customHeight="1">
      <c r="A10" s="96" t="n"/>
      <c r="B10" s="109" t="inlineStr">
        <is>
          <t>Refinance Closing Costs</t>
        </is>
      </c>
      <c r="C10" s="110" t="n">
        <v>3200</v>
      </c>
      <c r="D10" s="148" t="n"/>
      <c r="E10" s="153" t="inlineStr">
        <is>
          <t>Typical 2–3% of loan amount</t>
        </is>
      </c>
      <c r="F10" s="54" t="n"/>
      <c r="G10" s="54" t="n"/>
      <c r="H10" s="54" t="n"/>
    </row>
    <row r="11" ht="22" customHeight="1">
      <c r="A11" s="96" t="n"/>
      <c r="B11" s="109" t="inlineStr">
        <is>
          <t>Refinance Interest Rate %</t>
        </is>
      </c>
      <c r="C11" s="121" t="n">
        <v>0.07000000000000001</v>
      </c>
      <c r="D11" s="148" t="n"/>
      <c r="E11" s="153" t="inlineStr">
        <is>
          <t>Current market rate (e.g. 7.00%)</t>
        </is>
      </c>
      <c r="F11" s="54" t="n"/>
      <c r="G11" s="54" t="n"/>
      <c r="H11" s="54" t="n"/>
    </row>
    <row r="12" ht="22" customHeight="1">
      <c r="A12" s="96" t="n"/>
      <c r="B12" s="109" t="inlineStr">
        <is>
          <t>Refinance Loan Term (years)</t>
        </is>
      </c>
      <c r="C12" s="122" t="n">
        <v>30</v>
      </c>
      <c r="D12" s="148" t="n"/>
      <c r="E12" s="153" t="inlineStr">
        <is>
          <t>30-year fixed is most common</t>
        </is>
      </c>
      <c r="F12" s="54" t="n"/>
      <c r="G12" s="54" t="n"/>
      <c r="H12" s="54" t="n"/>
    </row>
    <row r="13" ht="8" customHeight="1">
      <c r="A13" s="96" t="n"/>
      <c r="B13" s="97" t="n"/>
      <c r="C13" s="97" t="n"/>
      <c r="D13" s="102" t="n"/>
      <c r="E13" s="97" t="n"/>
      <c r="F13" s="97" t="n"/>
      <c r="G13" s="97" t="n"/>
    </row>
    <row r="14" ht="24" customHeight="1">
      <c r="A14" s="108" t="inlineStr">
        <is>
          <t xml:space="preserve">  MONTHLY PAYMENT</t>
        </is>
      </c>
      <c r="G14" s="97" t="n"/>
    </row>
    <row r="15" ht="22" customHeight="1">
      <c r="A15" s="96" t="n"/>
      <c r="B15" s="109" t="inlineStr">
        <is>
          <t>Monthly P&amp;I Payment</t>
        </is>
      </c>
      <c r="C15" s="123">
        <f>IFERROR(PMT(C11/12,C12*12,-C9),0)</f>
        <v/>
      </c>
      <c r="D15" s="150" t="n"/>
      <c r="E15" s="119" t="inlineStr">
        <is>
          <t>Auto-calculated from loan terms</t>
        </is>
      </c>
    </row>
    <row r="16" ht="8" customHeight="1">
      <c r="A16" s="96" t="n"/>
      <c r="B16" s="97" t="n"/>
      <c r="C16" s="96" t="n"/>
      <c r="D16" s="96" t="n"/>
      <c r="E16" s="96" t="n"/>
      <c r="F16" s="96" t="n"/>
      <c r="G16" s="96" t="n"/>
    </row>
    <row r="17" ht="24" customHeight="1">
      <c r="A17" s="108" t="inlineStr">
        <is>
          <t xml:space="preserve">  CAPITAL RECOVERY (The BRRRR Check)</t>
        </is>
      </c>
      <c r="G17" s="97" t="n"/>
    </row>
    <row r="18" ht="22" customHeight="1">
      <c r="A18" s="96" t="n"/>
      <c r="B18" s="109" t="inlineStr">
        <is>
          <t>Total Cash Invested</t>
        </is>
      </c>
      <c r="C18" s="114">
        <f>'Purchase &amp; Rehab'!C18</f>
        <v/>
      </c>
      <c r="D18" s="148" t="n"/>
      <c r="E18" s="153" t="inlineStr">
        <is>
          <t>From Purchase &amp; Rehab tab</t>
        </is>
      </c>
      <c r="F18" s="54" t="n"/>
      <c r="G18" s="54" t="n"/>
      <c r="H18" s="54" t="n"/>
    </row>
    <row r="19" ht="22" customHeight="1">
      <c r="A19" s="96" t="n"/>
      <c r="B19" s="109" t="inlineStr">
        <is>
          <t>Cash Pulled Out at Refi</t>
        </is>
      </c>
      <c r="C19" s="114">
        <f>C9-C10</f>
        <v/>
      </c>
      <c r="D19" s="148" t="n"/>
      <c r="E19" s="153" t="inlineStr">
        <is>
          <t>Loan amount minus closing costs</t>
        </is>
      </c>
      <c r="F19" s="54" t="n"/>
      <c r="G19" s="54" t="n"/>
      <c r="H19" s="54" t="n"/>
    </row>
    <row r="20" ht="22" customHeight="1">
      <c r="A20" s="96" t="n"/>
      <c r="B20" s="109" t="inlineStr">
        <is>
          <t>Cash Left in Deal</t>
        </is>
      </c>
      <c r="C20" s="112">
        <f>C18-C19</f>
        <v/>
      </c>
      <c r="D20" s="148" t="n"/>
      <c r="E20" s="153" t="inlineStr">
        <is>
          <t>Invested minus recovered</t>
        </is>
      </c>
      <c r="F20" s="54" t="n"/>
      <c r="G20" s="54" t="n"/>
      <c r="H20" s="54" t="n"/>
    </row>
    <row r="21" ht="22" customHeight="1">
      <c r="A21" s="96" t="n"/>
      <c r="B21" s="109" t="inlineStr">
        <is>
          <t>Equity Remaining</t>
        </is>
      </c>
      <c r="C21" s="114">
        <f>C7-C9</f>
        <v/>
      </c>
      <c r="D21" s="148" t="n"/>
      <c r="E21" s="153" t="inlineStr">
        <is>
          <t>ARV minus loan amount</t>
        </is>
      </c>
      <c r="F21" s="54" t="n"/>
      <c r="G21" s="54" t="n"/>
      <c r="H21" s="54" t="n"/>
    </row>
    <row r="22" ht="8" customHeight="1">
      <c r="A22" s="96" t="n"/>
      <c r="B22" s="97" t="n"/>
      <c r="C22" s="96" t="n"/>
      <c r="D22" s="96" t="n"/>
      <c r="E22" s="124" t="n"/>
      <c r="F22" s="97" t="n"/>
      <c r="G22" s="97" t="n"/>
    </row>
    <row r="23" ht="32" customHeight="1">
      <c r="A23" s="125">
        <f>IF(C20&lt;=0,"✅  INFINITE RETURN — All capital recovered! This is a great BRRRR deal.","📊  Cash remaining in deal: "&amp;TEXT(C20,"$#,##0")&amp;" — not yet infinite return.")</f>
        <v/>
      </c>
    </row>
  </sheetData>
  <sheetProtection selectLockedCells="0" selectUnlockedCells="0" sheet="1" objects="0" insertRows="1" insertHyperlinks="1" autoFilter="1" scenarios="0" formatColumns="1" deleteColumns="1" insertColumns="1" pivotTables="1" deleteRows="1" formatCells="1" formatRows="1" sort="1"/>
  <mergeCells count="29">
    <mergeCell ref="C15:D15"/>
    <mergeCell ref="E7:H7"/>
    <mergeCell ref="A2:F2"/>
    <mergeCell ref="C20:D20"/>
    <mergeCell ref="E18:H18"/>
    <mergeCell ref="C10:D10"/>
    <mergeCell ref="A14:F14"/>
    <mergeCell ref="E12:H12"/>
    <mergeCell ref="A23:F23"/>
    <mergeCell ref="E21:H21"/>
    <mergeCell ref="A17:F17"/>
    <mergeCell ref="A4:F4"/>
    <mergeCell ref="C9:D9"/>
    <mergeCell ref="C12:D12"/>
    <mergeCell ref="C21:D21"/>
    <mergeCell ref="E8:H8"/>
    <mergeCell ref="C11:D11"/>
    <mergeCell ref="E20:H20"/>
    <mergeCell ref="E19:H19"/>
    <mergeCell ref="E10:H10"/>
    <mergeCell ref="C8:D8"/>
    <mergeCell ref="E9:H9"/>
    <mergeCell ref="C7:D7"/>
    <mergeCell ref="A1:F1"/>
    <mergeCell ref="C19:D19"/>
    <mergeCell ref="A6:F6"/>
    <mergeCell ref="E15:H15"/>
    <mergeCell ref="C18:D18"/>
    <mergeCell ref="E11:H11"/>
  </mergeCell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8"/>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Cash Flow Analysis</t>
        </is>
      </c>
      <c r="G1" s="96" t="n"/>
    </row>
    <row r="2" ht="22" customHeight="1">
      <c r="A2" s="95" t="inlineStr">
        <is>
          <t>BRRRR Strategy Calculator — Step 4: What does the deal generate?</t>
        </is>
      </c>
      <c r="G2" s="96" t="n"/>
    </row>
    <row r="3" ht="8" customHeight="1">
      <c r="A3" s="96" t="n"/>
      <c r="B3" s="97" t="n"/>
      <c r="C3" s="96" t="n"/>
      <c r="D3" s="96" t="n"/>
      <c r="E3" s="96" t="n"/>
      <c r="F3" s="96" t="n"/>
      <c r="G3" s="96" t="n"/>
    </row>
    <row r="4" ht="18" customHeight="1">
      <c r="A4" s="107" t="inlineStr">
        <is>
          <t xml:space="preserve">  🔵  All values pull from other tabs automatically. Nothing to enter here.</t>
        </is>
      </c>
      <c r="G4" s="97" t="n"/>
    </row>
    <row r="5" ht="8" customHeight="1">
      <c r="A5" s="96" t="n"/>
      <c r="B5" s="97" t="n"/>
      <c r="C5" s="96" t="n"/>
      <c r="D5" s="96" t="n"/>
      <c r="E5" s="96" t="n"/>
      <c r="F5" s="96" t="n"/>
      <c r="G5" s="97" t="n"/>
    </row>
    <row r="6" ht="24" customHeight="1">
      <c r="A6" s="108" t="inlineStr">
        <is>
          <t xml:space="preserve">  MONTHLY CASH FLOW</t>
        </is>
      </c>
      <c r="G6" s="96" t="n"/>
    </row>
    <row r="7" ht="22" customHeight="1">
      <c r="A7" s="96" t="n"/>
      <c r="B7" s="109" t="inlineStr">
        <is>
          <t>Monthly Rental Income (EGI)</t>
        </is>
      </c>
      <c r="C7" s="114">
        <f>'Rental Income &amp; Expenses'!C9</f>
        <v/>
      </c>
      <c r="D7" s="148" t="n"/>
      <c r="E7" s="153" t="inlineStr">
        <is>
          <t>From Rental Income tab</t>
        </is>
      </c>
      <c r="F7" s="54" t="n"/>
      <c r="G7" s="54" t="n"/>
      <c r="H7" s="54" t="n"/>
    </row>
    <row r="8" ht="22" customHeight="1">
      <c r="A8" s="96" t="n"/>
      <c r="B8" s="109" t="inlineStr">
        <is>
          <t>Monthly Refi Payment (P&amp;I)</t>
        </is>
      </c>
      <c r="C8" s="114">
        <f>'Refinance Analysis'!C15</f>
        <v/>
      </c>
      <c r="D8" s="148" t="n"/>
      <c r="E8" s="153" t="inlineStr">
        <is>
          <t>From Refinance Analysis tab</t>
        </is>
      </c>
      <c r="F8" s="54" t="n"/>
      <c r="G8" s="54" t="n"/>
      <c r="H8" s="54" t="n"/>
    </row>
    <row r="9" ht="22" customHeight="1">
      <c r="A9" s="96" t="n"/>
      <c r="B9" s="109" t="inlineStr">
        <is>
          <t>Monthly Operating Expenses</t>
        </is>
      </c>
      <c r="C9" s="114">
        <f>'Rental Income &amp; Expenses'!C23</f>
        <v/>
      </c>
      <c r="D9" s="148" t="n"/>
      <c r="E9" s="153" t="inlineStr">
        <is>
          <t>From Rental Income tab</t>
        </is>
      </c>
      <c r="F9" s="54" t="n"/>
      <c r="G9" s="54" t="n"/>
      <c r="H9" s="54" t="n"/>
    </row>
    <row r="10" ht="8" customHeight="1">
      <c r="A10" s="96" t="n"/>
      <c r="B10" s="97" t="n"/>
      <c r="C10" s="97" t="n"/>
      <c r="D10" s="97" t="n"/>
      <c r="E10" s="97" t="n"/>
      <c r="F10" s="97" t="n"/>
      <c r="G10" s="97" t="n"/>
    </row>
    <row r="11" ht="24" customHeight="1">
      <c r="A11" s="108" t="inlineStr">
        <is>
          <t xml:space="preserve">  NET RESULTS</t>
        </is>
      </c>
      <c r="G11" s="97" t="n"/>
    </row>
    <row r="12" ht="22" customHeight="1">
      <c r="A12" s="96" t="n"/>
      <c r="B12" s="109" t="inlineStr">
        <is>
          <t>Monthly Cash Flow</t>
        </is>
      </c>
      <c r="C12" s="126">
        <f>C7-C8-C9</f>
        <v/>
      </c>
      <c r="D12" s="148" t="n"/>
      <c r="E12" s="153" t="inlineStr">
        <is>
          <t>Income minus mortgage minus expenses</t>
        </is>
      </c>
      <c r="F12" s="54" t="n"/>
      <c r="G12" s="54" t="n"/>
      <c r="H12" s="54" t="n"/>
    </row>
    <row r="13" ht="22" customHeight="1">
      <c r="A13" s="96" t="n"/>
      <c r="B13" s="109" t="inlineStr">
        <is>
          <t>Annual Cash Flow</t>
        </is>
      </c>
      <c r="C13" s="127">
        <f>C12*12</f>
        <v/>
      </c>
      <c r="D13" s="148" t="n"/>
      <c r="E13" s="153" t="inlineStr">
        <is>
          <t>Monthly × 12</t>
        </is>
      </c>
      <c r="F13" s="54" t="n"/>
      <c r="G13" s="54" t="n"/>
      <c r="H13" s="54" t="n"/>
    </row>
    <row r="14" ht="8" customHeight="1">
      <c r="A14" s="96" t="n"/>
      <c r="B14" s="97" t="n"/>
      <c r="C14" s="96" t="n"/>
      <c r="D14" s="96" t="n"/>
      <c r="E14" s="96" t="n"/>
      <c r="F14" s="96" t="n"/>
      <c r="G14" s="97" t="n"/>
    </row>
    <row r="15" ht="24" customHeight="1">
      <c r="A15" s="108" t="inlineStr">
        <is>
          <t xml:space="preserve">  RETURN METRICS</t>
        </is>
      </c>
      <c r="G15" s="97" t="n"/>
    </row>
    <row r="16" ht="22" customHeight="1">
      <c r="A16" s="96" t="n"/>
      <c r="B16" s="109" t="inlineStr">
        <is>
          <t>Cash-on-Cash Return</t>
        </is>
      </c>
      <c r="C16" s="128">
        <f>IF('Refinance Analysis'!C20&lt;=0,"∞",IF('Refinance Analysis'!C20&gt;0,C13/'Refinance Analysis'!C20,""))</f>
        <v/>
      </c>
      <c r="D16" s="148" t="n"/>
      <c r="E16" s="153" t="inlineStr">
        <is>
          <t>Annual CF ÷ cash remaining in deal</t>
        </is>
      </c>
      <c r="F16" s="54" t="n"/>
      <c r="G16" s="54" t="n"/>
      <c r="H16" s="54" t="n"/>
    </row>
    <row r="17" ht="22" customHeight="1">
      <c r="A17" s="96" t="n"/>
      <c r="B17" s="109" t="inlineStr">
        <is>
          <t>DSCR</t>
        </is>
      </c>
      <c r="C17" s="129">
        <f>IF('Refinance Analysis'!C15&gt;0,C7/'Refinance Analysis'!C15,0)</f>
        <v/>
      </c>
      <c r="D17" s="148" t="n"/>
      <c r="E17" s="153" t="inlineStr">
        <is>
          <t>Debt Service Coverage Ratio (healthy &gt; 1.25)</t>
        </is>
      </c>
      <c r="F17" s="54" t="n"/>
      <c r="G17" s="54" t="n"/>
      <c r="H17" s="54" t="n"/>
    </row>
    <row r="18" ht="24" customHeight="1">
      <c r="A18" s="96" t="n"/>
      <c r="B18" s="97" t="n"/>
      <c r="C18" s="96" t="n"/>
      <c r="D18" s="96" t="n"/>
      <c r="E18" s="102" t="n"/>
      <c r="F18" s="97" t="n"/>
      <c r="G18" s="97" t="n"/>
    </row>
  </sheetData>
  <sheetProtection selectLockedCells="0" selectUnlockedCells="0" sheet="1" objects="0" insertRows="1" insertHyperlinks="1" autoFilter="1" scenarios="0" formatColumns="1" deleteColumns="1" insertColumns="1" pivotTables="1" deleteRows="1" formatCells="1" formatRows="1" sort="1"/>
  <mergeCells count="20">
    <mergeCell ref="E16:H16"/>
    <mergeCell ref="E7:H7"/>
    <mergeCell ref="A2:F2"/>
    <mergeCell ref="C16:D16"/>
    <mergeCell ref="E12:H12"/>
    <mergeCell ref="A4:F4"/>
    <mergeCell ref="C9:D9"/>
    <mergeCell ref="C12:D12"/>
    <mergeCell ref="E17:H17"/>
    <mergeCell ref="E8:H8"/>
    <mergeCell ref="C17:D17"/>
    <mergeCell ref="A15:F15"/>
    <mergeCell ref="C8:D8"/>
    <mergeCell ref="E13:H13"/>
    <mergeCell ref="A11:F11"/>
    <mergeCell ref="E9:H9"/>
    <mergeCell ref="C7:D7"/>
    <mergeCell ref="A1:F1"/>
    <mergeCell ref="A6:F6"/>
    <mergeCell ref="C13:D13"/>
  </mergeCells>
  <pageMargins left="0.75" right="0.75" top="1" bottom="1" header="0.5" footer="0.5"/>
</worksheet>
</file>

<file path=xl/worksheets/sheet7.xml><?xml version="1.0" encoding="utf-8"?>
<worksheet xmlns="http://schemas.openxmlformats.org/spreadsheetml/2006/main">
  <sheetPr>
    <tabColor rgb="00F4A61F"/>
    <outlinePr summaryBelow="1" summaryRight="1"/>
    <pageSetUpPr/>
  </sheetPr>
  <dimension ref="A1:E19"/>
  <sheetViews>
    <sheetView showGridLines="0" tabSelected="0" workbookViewId="0">
      <selection activeCell="A1" sqref="A1"/>
    </sheetView>
  </sheetViews>
  <sheetFormatPr baseColWidth="8" defaultRowHeight="15"/>
  <cols>
    <col width="2" customWidth="1" min="1" max="1"/>
    <col width="28" customWidth="1" min="2" max="2"/>
    <col width="20" customWidth="1" min="3" max="3"/>
    <col width="20" customWidth="1" min="4" max="4"/>
    <col width="14" customWidth="1" min="5" max="5"/>
    <col width="2" customWidth="1" min="6" max="6"/>
  </cols>
  <sheetData>
    <row r="1" ht="38" customHeight="1">
      <c r="A1" s="93" t="inlineStr">
        <is>
          <t>MyClearBudget — BRRRR Scorecard</t>
        </is>
      </c>
    </row>
    <row r="2" ht="22" customHeight="1">
      <c r="A2" s="95" t="inlineStr">
        <is>
          <t>Deal at a Glance — Does this deal pass?</t>
        </is>
      </c>
    </row>
    <row r="3" ht="8" customHeight="1">
      <c r="A3" s="96" t="n"/>
      <c r="B3" s="97" t="n"/>
      <c r="C3" s="96" t="n"/>
      <c r="D3" s="96" t="n"/>
      <c r="E3" s="96" t="n"/>
    </row>
    <row r="4" ht="24" customHeight="1">
      <c r="A4" s="96" t="n"/>
      <c r="B4" s="130" t="inlineStr">
        <is>
          <t>METRIC</t>
        </is>
      </c>
      <c r="C4" s="130" t="inlineStr">
        <is>
          <t>YOUR DEAL</t>
        </is>
      </c>
      <c r="D4" s="130" t="inlineStr">
        <is>
          <t>TARGET</t>
        </is>
      </c>
      <c r="E4" s="130" t="inlineStr">
        <is>
          <t>STATUS</t>
        </is>
      </c>
    </row>
    <row r="5" ht="24" customHeight="1">
      <c r="A5" s="96" t="n"/>
      <c r="B5" s="131" t="inlineStr">
        <is>
          <t>After Repair Value</t>
        </is>
      </c>
      <c r="C5" s="132">
        <f>'Refinance Analysis'!C7</f>
        <v/>
      </c>
      <c r="D5" s="133" t="inlineStr">
        <is>
          <t>&gt; Purchase + Rehab</t>
        </is>
      </c>
      <c r="E5" s="134">
        <f>IF('Refinance Analysis'!C7&gt;('Purchase &amp; Rehab'!C7+'Purchase &amp; Rehab'!C12),"✅ PASS","❌ FAIL")</f>
        <v/>
      </c>
    </row>
    <row r="6" ht="24" customHeight="1">
      <c r="A6" s="96" t="n"/>
      <c r="B6" s="135" t="inlineStr">
        <is>
          <t>Cash Pulled Out</t>
        </is>
      </c>
      <c r="C6" s="136">
        <f>'Refinance Analysis'!C19</f>
        <v/>
      </c>
      <c r="D6" s="137" t="inlineStr">
        <is>
          <t>&gt;= Total Invested</t>
        </is>
      </c>
      <c r="E6" s="138">
        <f>IF('Refinance Analysis'!C19&gt;='Refinance Analysis'!C18,"✅ PASS","❌ FAIL")</f>
        <v/>
      </c>
    </row>
    <row r="7" ht="24" customHeight="1">
      <c r="A7" s="96" t="n"/>
      <c r="B7" s="131" t="inlineStr">
        <is>
          <t>Cash Left in Deal</t>
        </is>
      </c>
      <c r="C7" s="139">
        <f>'Refinance Analysis'!C20</f>
        <v/>
      </c>
      <c r="D7" s="140" t="inlineStr">
        <is>
          <t>&lt; $0 (Infinite)</t>
        </is>
      </c>
      <c r="E7" s="141">
        <f>IF('Refinance Analysis'!C20&lt;=0,"✅ PASS","❌ FAIL")</f>
        <v/>
      </c>
    </row>
    <row r="8" ht="24" customHeight="1">
      <c r="A8" s="96" t="n"/>
      <c r="B8" s="135" t="inlineStr">
        <is>
          <t>Monthly Cash Flow</t>
        </is>
      </c>
      <c r="C8" s="142">
        <f>'Cash Flow Analysis'!C12</f>
        <v/>
      </c>
      <c r="D8" s="137" t="inlineStr">
        <is>
          <t>&gt; $0</t>
        </is>
      </c>
      <c r="E8" s="143">
        <f>IF('Cash Flow Analysis'!C12&gt;0,"✅ PASS","❌ FAIL")</f>
        <v/>
      </c>
    </row>
    <row r="9" ht="24" customHeight="1">
      <c r="A9" s="96" t="n"/>
      <c r="B9" s="131" t="inlineStr">
        <is>
          <t>Annual Cash Flow</t>
        </is>
      </c>
      <c r="C9" s="132">
        <f>'Cash Flow Analysis'!C13</f>
        <v/>
      </c>
      <c r="D9" s="140" t="inlineStr">
        <is>
          <t>&gt; $0</t>
        </is>
      </c>
      <c r="E9" s="134">
        <f>IF('Cash Flow Analysis'!C13&gt;0,"✅ PASS","❌ FAIL")</f>
        <v/>
      </c>
    </row>
    <row r="10" ht="24" customHeight="1">
      <c r="A10" s="96" t="n"/>
      <c r="B10" s="135" t="inlineStr">
        <is>
          <t>DSCR</t>
        </is>
      </c>
      <c r="C10" s="144">
        <f>'Cash Flow Analysis'!C17</f>
        <v/>
      </c>
      <c r="D10" s="137" t="inlineStr">
        <is>
          <t>&gt; 1.25</t>
        </is>
      </c>
      <c r="E10" s="138">
        <f>IF('Cash Flow Analysis'!C17&gt;1.25,"✅ PASS","❌ FAIL")</f>
        <v/>
      </c>
    </row>
    <row r="11" ht="24" customHeight="1">
      <c r="A11" s="96" t="n"/>
      <c r="B11" s="131" t="inlineStr">
        <is>
          <t>Infinite Return?</t>
        </is>
      </c>
      <c r="C11" s="132">
        <f>'Refinance Analysis'!C20</f>
        <v/>
      </c>
      <c r="D11" s="140" t="inlineStr">
        <is>
          <t>&lt;= $0</t>
        </is>
      </c>
      <c r="E11" s="134">
        <f>IF('Refinance Analysis'!C20&lt;=0,"✅ YES","❌ No")</f>
        <v/>
      </c>
    </row>
    <row r="12" ht="22" customHeight="1">
      <c r="A12" s="96" t="n"/>
      <c r="B12" s="97" t="n"/>
      <c r="C12" s="145" t="n"/>
      <c r="D12" s="97" t="n"/>
      <c r="E12" s="96" t="n"/>
    </row>
    <row r="13" ht="22" customHeight="1">
      <c r="A13" s="96" t="n"/>
      <c r="B13" s="97" t="n"/>
      <c r="C13" s="146" t="n"/>
      <c r="D13" s="97" t="n"/>
      <c r="E13" s="96" t="n"/>
    </row>
    <row r="14" ht="22" customHeight="1">
      <c r="A14" s="96" t="n"/>
      <c r="B14" s="97" t="n"/>
      <c r="C14" s="120" t="n"/>
      <c r="D14" s="97" t="n"/>
      <c r="E14" s="96" t="n"/>
    </row>
    <row r="15" ht="22" customHeight="1">
      <c r="A15" s="96" t="n"/>
      <c r="B15" s="97" t="n"/>
      <c r="C15" s="124" t="n"/>
      <c r="D15" s="97" t="n"/>
      <c r="E15" s="96" t="n"/>
    </row>
    <row r="16" ht="12" customHeight="1">
      <c r="A16" s="96" t="n"/>
      <c r="B16" s="97" t="n"/>
      <c r="C16" s="97" t="n"/>
      <c r="D16" s="97" t="n"/>
      <c r="E16" s="97" t="n"/>
    </row>
    <row r="17" ht="22" customHeight="1">
      <c r="A17" s="96" t="n"/>
      <c r="B17" s="97" t="n"/>
      <c r="C17" s="96" t="n"/>
      <c r="D17" s="96" t="n"/>
      <c r="E17" s="96" t="n"/>
    </row>
    <row r="18" ht="8" customHeight="1">
      <c r="A18" s="96" t="n"/>
      <c r="B18" s="97" t="n"/>
      <c r="C18" s="97" t="n"/>
      <c r="D18" s="97" t="n"/>
      <c r="E18" s="97" t="n"/>
    </row>
    <row r="19" ht="36" customHeight="1">
      <c r="A19" s="96" t="n"/>
      <c r="B19" s="97" t="n"/>
      <c r="C19" s="96" t="n"/>
      <c r="D19" s="96" t="n"/>
      <c r="E19" s="96" t="n"/>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2026-06-02T19:10:01Z</dcterms:created>
  <dcterms:modified xmlns:dcterms="http://purl.org/dc/terms/" xmlns:xsi="http://www.w3.org/2001/XMLSchema-instance" xsi:type="dcterms:W3CDTF">2026-06-13T15:40:30Z</dcterms:modified>
</cp:coreProperties>
</file>