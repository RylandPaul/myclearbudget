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Getting Started" sheetId="2" state="visible" r:id="rId2"/>
    <sheet xmlns:r="http://schemas.openxmlformats.org/officeDocument/2006/relationships" name="Purchase &amp; Rehab" sheetId="3" state="visible" r:id="rId3"/>
    <sheet xmlns:r="http://schemas.openxmlformats.org/officeDocument/2006/relationships" name="Rental Income &amp; Expenses" sheetId="4" state="visible" r:id="rId4"/>
    <sheet xmlns:r="http://schemas.openxmlformats.org/officeDocument/2006/relationships" name="Refinance Analysis" sheetId="5" state="visible" r:id="rId5"/>
    <sheet xmlns:r="http://schemas.openxmlformats.org/officeDocument/2006/relationships" name="Cash Flow Analysis" sheetId="6" state="visible" r:id="rId6"/>
    <sheet xmlns:r="http://schemas.openxmlformats.org/officeDocument/2006/relationships" name="BRRRR Scorecard" sheetId="7" state="visible" r:id="rId7"/>
  </sheets>
  <definedNames/>
  <calcPr calcId="124519" fullCalcOnLoad="1"/>
</workbook>
</file>

<file path=xl/styles.xml><?xml version="1.0" encoding="utf-8"?>
<styleSheet xmlns="http://schemas.openxmlformats.org/spreadsheetml/2006/main">
  <numFmts count="5">
    <numFmt numFmtId="164" formatCode="&quot;$&quot;#,##0"/>
    <numFmt numFmtId="165" formatCode="0.00%;@"/>
    <numFmt numFmtId="166" formatCode="#,##0.00%;@"/>
    <numFmt numFmtId="167" formatCode="0.00&quot;x&quot;"/>
    <numFmt numFmtId="168" formatCode="$#,##0"/>
  </numFmts>
  <fonts count="40">
    <font>
      <name val="Calibri"/>
      <family val="2"/>
      <color theme="1"/>
      <sz val="11"/>
      <scheme val="minor"/>
    </font>
    <font>
      <name val="Calibri"/>
      <b val="1"/>
      <color rgb="00FFFFFF"/>
      <sz val="22"/>
    </font>
    <font>
      <name val="Calibri"/>
      <color rgb="00A8C4E8"/>
      <sz val="13"/>
    </font>
    <font>
      <name val="Calibri"/>
      <b val="1"/>
      <color rgb="00FFFFFF"/>
      <sz val="12"/>
    </font>
    <font>
      <name val="Calibri"/>
      <i val="1"/>
      <color rgb="008E9BAE"/>
      <sz val="11"/>
    </font>
    <font>
      <name val="Calibri"/>
      <color rgb="001A1A2E"/>
      <sz val="13"/>
    </font>
    <font>
      <name val="Calibri"/>
      <b val="1"/>
      <color rgb="002E5BA8"/>
      <sz val="13"/>
    </font>
    <font>
      <name val="Calibri"/>
      <b val="1"/>
      <color rgb="00FFFFFF"/>
      <sz val="13"/>
    </font>
    <font>
      <name val="Calibri"/>
      <b val="1"/>
      <color rgb="00FFFFFF"/>
      <sz val="14"/>
    </font>
    <font>
      <name val="Calibri"/>
      <b val="1"/>
      <color rgb="001A1A2E"/>
      <sz val="13"/>
    </font>
    <font>
      <name val="Calibri"/>
      <b val="1"/>
      <color rgb="00F4A61F"/>
      <sz val="18"/>
    </font>
    <font>
      <name val="Calibri"/>
      <color rgb="00B0BEC5"/>
      <sz val="11"/>
    </font>
    <font>
      <name val="Calibri"/>
      <b val="1"/>
      <color rgb="00F4A61F"/>
      <sz val="16"/>
    </font>
    <font>
      <name val="Calibri"/>
      <b val="1"/>
      <color rgb="00FFFFFF"/>
      <sz val="16"/>
    </font>
    <font>
      <name val="Calibri"/>
      <b val="1"/>
      <color rgb="001A1A2E"/>
      <sz val="11"/>
    </font>
    <font>
      <name val="Calibri"/>
      <b val="1"/>
      <color rgb="00FFFFFF"/>
      <sz val="18"/>
    </font>
    <font>
      <name val="Calibri"/>
      <color rgb="00B0BEC5"/>
      <sz val="12"/>
    </font>
    <font>
      <name val="Calibri"/>
      <b val="1"/>
      <color rgb="001A1A2E"/>
      <sz val="12"/>
    </font>
    <font>
      <name val="Calibri"/>
      <color rgb="001B2A4A"/>
      <sz val="12"/>
    </font>
    <font>
      <name val="Calibri"/>
      <color rgb="008E9BAE"/>
      <sz val="12"/>
    </font>
    <font>
      <name val="Calibri"/>
      <color rgb="001B2A4A"/>
      <sz val="10"/>
    </font>
    <font>
      <name val="Calibri"/>
      <i val="1"/>
      <color rgb="00F4A61F"/>
      <sz val="10"/>
    </font>
    <font>
      <name val="Calibri"/>
      <b val="1"/>
      <color rgb="001B2A4A"/>
      <sz val="8"/>
    </font>
    <font>
      <name val="Calibri"/>
      <b val="1"/>
      <color rgb="001B2A4A"/>
      <sz val="16"/>
    </font>
    <font>
      <name val="Calibri"/>
      <b val="1"/>
      <color rgb="0016A34A"/>
      <sz val="16"/>
    </font>
    <font>
      <name val="Calibri"/>
      <b val="1"/>
      <color rgb="00FFFFFF"/>
      <sz val="11"/>
    </font>
    <font>
      <name val="Calibri"/>
      <i val="1"/>
      <color rgb="0064748B"/>
      <sz val="9"/>
    </font>
    <font>
      <name val="Calibri"/>
      <b val="1"/>
      <color rgb="00FFFFFF"/>
      <sz val="10"/>
    </font>
    <font>
      <name val="Calibri"/>
      <b val="1"/>
      <color rgb="001B2A4A"/>
      <sz val="11"/>
    </font>
    <font>
      <name val="Calibri"/>
      <b val="1"/>
      <color rgb="001B2A4A"/>
      <sz val="12"/>
    </font>
    <font>
      <name val="Calibri"/>
      <b val="1"/>
      <color rgb="00F4A61F"/>
      <sz val="14"/>
    </font>
    <font>
      <name val="Calibri"/>
      <b val="1"/>
      <color rgb="0016A34A"/>
      <sz val="11"/>
    </font>
    <font>
      <name val="Calibri"/>
      <b val="1"/>
      <color rgb="001B2A4A"/>
      <sz val="14"/>
    </font>
    <font>
      <name val="Calibri"/>
      <b val="1"/>
      <color rgb="00FFFFFF"/>
      <sz val="9"/>
    </font>
    <font>
      <name val="Calibri"/>
      <b val="1"/>
      <color rgb="001B2A4A"/>
      <sz val="10"/>
    </font>
    <font>
      <name val="Calibri"/>
      <color rgb="001B2A4A"/>
      <sz val="11"/>
    </font>
    <font>
      <name val="Calibri"/>
      <i val="1"/>
      <color rgb="00F4A61F"/>
      <sz val="11"/>
    </font>
    <font>
      <name val="Calibri"/>
      <b val="1"/>
      <color rgb="00FFFFFF"/>
      <sz val="8"/>
    </font>
    <font>
      <name val="Calibri"/>
      <b val="1"/>
      <color rgb="001B2A4A"/>
      <sz val="18"/>
    </font>
    <font>
      <name val="Calibri"/>
      <b val="1"/>
      <color rgb="0016A34A"/>
      <sz val="18"/>
    </font>
  </fonts>
  <fills count="14">
    <fill>
      <patternFill/>
    </fill>
    <fill>
      <patternFill patternType="gray125"/>
    </fill>
    <fill>
      <patternFill patternType="solid">
        <fgColor rgb="001B2A4A"/>
      </patternFill>
    </fill>
    <fill>
      <patternFill patternType="solid">
        <fgColor rgb="002E5BA8"/>
      </patternFill>
    </fill>
    <fill>
      <patternFill patternType="solid">
        <fgColor rgb="00F5F7FA"/>
      </patternFill>
    </fill>
    <fill>
      <patternFill patternType="solid">
        <fgColor rgb="00FFFDE7"/>
      </patternFill>
    </fill>
    <fill>
      <patternFill patternType="solid">
        <fgColor rgb="00FFFFFF"/>
      </patternFill>
    </fill>
    <fill>
      <patternFill patternType="solid">
        <fgColor rgb="0027AE60"/>
      </patternFill>
    </fill>
    <fill>
      <patternFill patternType="solid">
        <fgColor rgb="00FFF9C4"/>
      </patternFill>
    </fill>
    <fill>
      <patternFill patternType="solid">
        <fgColor rgb="00F1F5F9"/>
      </patternFill>
    </fill>
    <fill>
      <patternFill patternType="solid">
        <fgColor rgb="00FFFBEB"/>
      </patternFill>
    </fill>
    <fill>
      <patternFill patternType="solid">
        <fgColor rgb="00DBEAFE"/>
      </patternFill>
    </fill>
    <fill>
      <patternFill patternType="solid">
        <fgColor rgb="00D1FAE5"/>
      </patternFill>
    </fill>
    <fill>
      <patternFill patternType="solid">
        <fgColor rgb="00F8FAFC"/>
      </patternFill>
    </fill>
  </fills>
  <borders count="13">
    <border>
      <left/>
      <right/>
      <top/>
      <bottom/>
      <diagonal/>
    </border>
    <border>
      <left style="medium">
        <color rgb="00F4A61F"/>
      </left>
      <bottom style="thin">
        <color rgb="00E8ECF0"/>
      </bottom>
    </border>
    <border>
      <left style="thin">
        <color rgb="00E8ECF0"/>
      </left>
      <right style="thin">
        <color rgb="00E8ECF0"/>
      </right>
      <top style="thin">
        <color rgb="00E8ECF0"/>
      </top>
      <bottom style="thin">
        <color rgb="00E8ECF0"/>
      </bottom>
    </border>
    <border>
      <bottom style="thin">
        <color rgb="00E8ECF0"/>
      </bottom>
    </border>
    <border/>
    <border>
      <left style="thin">
        <color rgb="001B2A4A"/>
      </left>
      <right style="thin">
        <color rgb="001B2A4A"/>
      </right>
      <top style="thin">
        <color rgb="001B2A4A"/>
      </top>
      <bottom style="thin">
        <color rgb="001B2A4A"/>
      </bottom>
    </border>
    <border>
      <left style="thin">
        <color rgb="00CBD5E1"/>
      </left>
      <right style="thin">
        <color rgb="00CBD5E1"/>
      </right>
      <top style="thin">
        <color rgb="00CBD5E1"/>
      </top>
      <bottom style="thin">
        <color rgb="00CBD5E1"/>
      </bottom>
    </border>
    <border>
      <left/>
      <right/>
      <top style="thin">
        <color rgb="001B2A4A"/>
      </top>
      <bottom/>
      <diagonal/>
    </border>
    <border>
      <left/>
      <right style="thin">
        <color rgb="001B2A4A"/>
      </right>
      <top style="thin">
        <color rgb="001B2A4A"/>
      </top>
      <bottom/>
      <diagonal/>
    </border>
    <border>
      <left/>
      <right/>
      <top style="thin">
        <color rgb="001B2A4A"/>
      </top>
      <bottom style="thin">
        <color rgb="001B2A4A"/>
      </bottom>
      <diagonal/>
    </border>
    <border>
      <left/>
      <right style="thin">
        <color rgb="001B2A4A"/>
      </right>
      <top style="thin">
        <color rgb="001B2A4A"/>
      </top>
      <bottom style="thin">
        <color rgb="001B2A4A"/>
      </bottom>
      <diagonal/>
    </border>
    <border>
      <right/>
      <bottom/>
    </border>
    <border>
      <left style="medium">
        <color rgb="001B2A4A"/>
      </left>
      <right style="medium">
        <color rgb="001B2A4A"/>
      </right>
      <top style="medium">
        <color rgb="001B2A4A"/>
      </top>
      <bottom style="medium">
        <color rgb="001B2A4A"/>
      </bottom>
    </border>
  </borders>
  <cellStyleXfs count="1">
    <xf numFmtId="0" fontId="0" fillId="0" borderId="0"/>
  </cellStyleXfs>
  <cellXfs count="163">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horizontal="center" vertical="center"/>
    </xf>
    <xf numFmtId="0" fontId="11" fillId="2" borderId="0" applyAlignment="1" pivotButton="0" quotePrefix="0" xfId="0">
      <alignment horizontal="center" vertical="center"/>
    </xf>
    <xf numFmtId="0" fontId="11" fillId="3" borderId="0" applyAlignment="1" pivotButton="0" quotePrefix="0" xfId="0">
      <alignment horizontal="center" vertical="center"/>
    </xf>
    <xf numFmtId="164" fontId="12" fillId="2" borderId="0" applyAlignment="1" pivotButton="0" quotePrefix="0" xfId="0">
      <alignment horizontal="center" vertical="center"/>
    </xf>
    <xf numFmtId="164" fontId="13" fillId="3" borderId="0" applyAlignment="1" pivotButton="0" quotePrefix="0" xfId="0">
      <alignment horizontal="center" vertical="center"/>
    </xf>
    <xf numFmtId="0" fontId="11" fillId="7" borderId="0" applyAlignment="1" pivotButton="0" quotePrefix="0" xfId="0">
      <alignment horizontal="center" vertical="center"/>
    </xf>
    <xf numFmtId="164" fontId="13" fillId="7" borderId="0" applyAlignment="1" pivotButton="0" quotePrefix="0" xfId="0">
      <alignment horizontal="center" vertical="center"/>
    </xf>
    <xf numFmtId="164" fontId="12" fillId="3" borderId="0" applyAlignment="1" pivotButton="0" quotePrefix="0" xfId="0">
      <alignment horizontal="center" vertical="center"/>
    </xf>
    <xf numFmtId="165" fontId="12" fillId="3" borderId="0" applyAlignment="1" pivotButton="0" quotePrefix="0" xfId="0">
      <alignment horizontal="center" vertical="center"/>
    </xf>
    <xf numFmtId="49" fontId="12" fillId="2" borderId="0" applyAlignment="1" pivotButton="0" quotePrefix="0" xfId="0">
      <alignment horizontal="center" vertical="center"/>
    </xf>
    <xf numFmtId="0" fontId="14" fillId="0" borderId="0" pivotButton="0" quotePrefix="0" xfId="0"/>
    <xf numFmtId="0" fontId="3" fillId="3" borderId="0" applyAlignment="1" pivotButton="0" quotePrefix="0" xfId="0">
      <alignment horizontal="left" vertical="center"/>
    </xf>
    <xf numFmtId="0" fontId="4" fillId="4" borderId="0" applyAlignment="1" pivotButton="0" quotePrefix="0" xfId="0">
      <alignment horizontal="left" vertical="center"/>
    </xf>
    <xf numFmtId="0" fontId="5" fillId="4" borderId="1" applyAlignment="1" pivotButton="0" quotePrefix="0" xfId="0">
      <alignment horizontal="left" vertical="center"/>
    </xf>
    <xf numFmtId="0" fontId="0" fillId="4" borderId="3" pivotButton="0" quotePrefix="0" xfId="0"/>
    <xf numFmtId="164" fontId="5" fillId="5" borderId="2" applyAlignment="1" pivotButton="0" quotePrefix="0" xfId="0">
      <alignment horizontal="right" vertical="center"/>
    </xf>
    <xf numFmtId="0" fontId="4" fillId="4" borderId="3" applyAlignment="1" pivotButton="0" quotePrefix="0" xfId="0">
      <alignment horizontal="left" vertical="center"/>
    </xf>
    <xf numFmtId="0" fontId="5" fillId="6" borderId="1" applyAlignment="1" pivotButton="0" quotePrefix="0" xfId="0">
      <alignment horizontal="left" vertical="center"/>
    </xf>
    <xf numFmtId="0" fontId="0" fillId="6" borderId="3" pivotButton="0" quotePrefix="0" xfId="0"/>
    <xf numFmtId="0" fontId="4" fillId="6" borderId="3" applyAlignment="1" pivotButton="0" quotePrefix="0" xfId="0">
      <alignment horizontal="left" vertical="center"/>
    </xf>
    <xf numFmtId="9" fontId="5" fillId="5" borderId="2" applyAlignment="1" pivotButton="0" quotePrefix="0" xfId="0">
      <alignment horizontal="right" vertical="center"/>
    </xf>
    <xf numFmtId="164" fontId="6" fillId="4" borderId="2" applyAlignment="1" pivotButton="0" quotePrefix="0" xfId="0">
      <alignment horizontal="right" vertical="center"/>
    </xf>
    <xf numFmtId="10" fontId="5" fillId="5" borderId="2" applyAlignment="1" pivotButton="0" quotePrefix="0" xfId="0">
      <alignment horizontal="right" vertical="center"/>
    </xf>
    <xf numFmtId="3" fontId="5" fillId="5" borderId="2" applyAlignment="1" pivotButton="0" quotePrefix="0" xfId="0">
      <alignment horizontal="right" vertical="center"/>
    </xf>
    <xf numFmtId="0" fontId="7" fillId="2" borderId="0" applyAlignment="1" pivotButton="0" quotePrefix="0" xfId="0">
      <alignment horizontal="left" vertical="center"/>
    </xf>
    <xf numFmtId="164" fontId="8" fillId="2" borderId="0" applyAlignment="1" pivotButton="0" quotePrefix="0" xfId="0">
      <alignment horizontal="right" vertical="center"/>
    </xf>
    <xf numFmtId="10" fontId="6" fillId="4" borderId="2" applyAlignment="1" pivotButton="0" quotePrefix="0" xfId="0">
      <alignment horizontal="right" vertical="center"/>
    </xf>
    <xf numFmtId="49" fontId="8" fillId="2" borderId="0" applyAlignment="1" pivotButton="0" quotePrefix="0" xfId="0">
      <alignment horizontal="right" vertical="center"/>
    </xf>
    <xf numFmtId="166" fontId="6" fillId="4" borderId="2" applyAlignment="1" pivotButton="0" quotePrefix="0" xfId="0">
      <alignment horizontal="right" vertical="center"/>
    </xf>
    <xf numFmtId="167" fontId="6" fillId="4" borderId="2" applyAlignment="1" pivotButton="0" quotePrefix="0" xfId="0">
      <alignment horizontal="right" vertical="center"/>
    </xf>
    <xf numFmtId="0" fontId="7" fillId="3" borderId="0" applyAlignment="1" pivotButton="0" quotePrefix="0" xfId="0">
      <alignment horizontal="center" vertical="center"/>
    </xf>
    <xf numFmtId="164" fontId="9" fillId="6" borderId="2" applyAlignment="1" pivotButton="0" quotePrefix="0" xfId="0">
      <alignment horizontal="right" vertical="center"/>
    </xf>
    <xf numFmtId="0" fontId="4" fillId="6" borderId="2" applyAlignment="1" pivotButton="0" quotePrefix="0" xfId="0">
      <alignment horizontal="center" vertical="center"/>
    </xf>
    <xf numFmtId="0" fontId="9" fillId="6" borderId="2" applyAlignment="1" pivotButton="0" quotePrefix="0" xfId="0">
      <alignment horizontal="center" vertical="center"/>
    </xf>
    <xf numFmtId="164" fontId="9" fillId="4" borderId="2" applyAlignment="1" pivotButton="0" quotePrefix="0" xfId="0">
      <alignment horizontal="right" vertical="center"/>
    </xf>
    <xf numFmtId="0" fontId="4" fillId="4" borderId="2" applyAlignment="1" pivotButton="0" quotePrefix="0" xfId="0">
      <alignment horizontal="center" vertical="center"/>
    </xf>
    <xf numFmtId="0" fontId="9" fillId="4" borderId="2" applyAlignment="1" pivotButton="0" quotePrefix="0" xfId="0">
      <alignment horizontal="center" vertical="center"/>
    </xf>
    <xf numFmtId="167" fontId="9" fillId="6" borderId="2" applyAlignment="1" pivotButton="0" quotePrefix="0" xfId="0">
      <alignment horizontal="right" vertical="center"/>
    </xf>
    <xf numFmtId="166" fontId="9" fillId="4" borderId="2" applyAlignment="1" pivotButton="0" quotePrefix="0" xfId="0">
      <alignment horizontal="right" vertical="center"/>
    </xf>
    <xf numFmtId="10" fontId="9" fillId="6" borderId="2" applyAlignment="1" pivotButton="0" quotePrefix="0" xfId="0">
      <alignment horizontal="right" vertical="center"/>
    </xf>
    <xf numFmtId="49" fontId="9" fillId="4" borderId="2" applyAlignment="1" pivotButton="0" quotePrefix="0" xfId="0">
      <alignment horizontal="right" vertical="center"/>
    </xf>
    <xf numFmtId="0" fontId="8" fillId="2" borderId="0" applyAlignment="1" pivotButton="0" quotePrefix="0" xfId="0">
      <alignment horizontal="left" vertical="center"/>
    </xf>
    <xf numFmtId="0" fontId="10" fillId="2" borderId="0" applyAlignment="1" pivotButton="0" quotePrefix="0" xfId="0">
      <alignment horizontal="center" vertical="center"/>
    </xf>
    <xf numFmtId="0" fontId="8" fillId="3" borderId="0" applyAlignment="1" pivotButton="0" quotePrefix="0" xfId="0">
      <alignment horizontal="left" vertical="center"/>
    </xf>
    <xf numFmtId="0" fontId="5" fillId="6" borderId="1" applyAlignment="1" pivotButton="0" quotePrefix="0" xfId="0">
      <alignment horizontal="left" vertical="center" wrapText="1"/>
    </xf>
    <xf numFmtId="0" fontId="5" fillId="4" borderId="1" applyAlignment="1" pivotButton="0" quotePrefix="0" xfId="0">
      <alignment horizontal="left" vertical="center" wrapText="1"/>
    </xf>
    <xf numFmtId="165" fontId="12" fillId="3" borderId="0" applyAlignment="1" pivotButton="0" quotePrefix="0" xfId="0">
      <alignment horizontal="center" vertical="center"/>
    </xf>
    <xf numFmtId="166" fontId="6" fillId="4" borderId="2" applyAlignment="1" pivotButton="0" quotePrefix="0" xfId="0">
      <alignment horizontal="right" vertical="center"/>
    </xf>
    <xf numFmtId="166" fontId="9" fillId="4" borderId="2" applyAlignment="1" pivotButton="0" quotePrefix="0" xfId="0">
      <alignment horizontal="right" vertical="center"/>
    </xf>
    <xf numFmtId="0" fontId="0" fillId="2" borderId="0" pivotButton="0" quotePrefix="0" xfId="0"/>
    <xf numFmtId="0" fontId="15" fillId="2" borderId="0" applyAlignment="1" pivotButton="0" quotePrefix="0" xfId="0">
      <alignment horizontal="center" vertical="center"/>
    </xf>
    <xf numFmtId="0" fontId="1" fillId="0" borderId="0" applyAlignment="1" applyProtection="1" pivotButton="0" quotePrefix="0" xfId="0">
      <alignment horizontal="center" vertical="center"/>
      <protection locked="0" hidden="0"/>
    </xf>
    <xf numFmtId="0" fontId="0" fillId="0" borderId="0" applyProtection="1" pivotButton="0" quotePrefix="0" xfId="0">
      <protection locked="0" hidden="0"/>
    </xf>
    <xf numFmtId="0" fontId="2" fillId="0" borderId="0" applyAlignment="1" applyProtection="1" pivotButton="0" quotePrefix="0" xfId="0">
      <alignment horizontal="center" vertical="center"/>
      <protection locked="0" hidden="0"/>
    </xf>
    <xf numFmtId="0" fontId="16" fillId="0" borderId="0" applyAlignment="1" applyProtection="1" pivotButton="0" quotePrefix="0" xfId="0">
      <alignment horizontal="center" vertical="center"/>
      <protection locked="0" hidden="0"/>
    </xf>
    <xf numFmtId="164" fontId="12" fillId="0" borderId="0" applyAlignment="1" pivotButton="0" quotePrefix="0" xfId="0">
      <alignment horizontal="center" vertical="center"/>
    </xf>
    <xf numFmtId="164" fontId="13" fillId="0" borderId="0" applyAlignment="1" pivotButton="0" quotePrefix="0" xfId="0">
      <alignment horizontal="center" vertical="center"/>
    </xf>
    <xf numFmtId="165" fontId="12" fillId="0" borderId="0" applyAlignment="1" pivotButton="0" quotePrefix="0" xfId="0">
      <alignment horizontal="center" vertical="center"/>
    </xf>
    <xf numFmtId="49" fontId="12" fillId="0" borderId="0" applyAlignment="1" pivotButton="0" quotePrefix="0" xfId="0">
      <alignment horizontal="center" vertical="center"/>
    </xf>
    <xf numFmtId="0" fontId="17" fillId="0" borderId="0" applyProtection="1" pivotButton="0" quotePrefix="0" xfId="0">
      <protection locked="0" hidden="0"/>
    </xf>
    <xf numFmtId="0" fontId="18" fillId="0" borderId="0" applyProtection="1" pivotButton="0" quotePrefix="0" xfId="0">
      <protection locked="0" hidden="0"/>
    </xf>
    <xf numFmtId="0" fontId="18" fillId="0" borderId="0" pivotButton="0" quotePrefix="0" xfId="0"/>
    <xf numFmtId="0" fontId="3" fillId="0" borderId="0" applyAlignment="1" applyProtection="1" pivotButton="0" quotePrefix="0" xfId="0">
      <alignment horizontal="left" vertical="center"/>
      <protection locked="0" hidden="0"/>
    </xf>
    <xf numFmtId="0" fontId="19" fillId="0" borderId="0" applyAlignment="1" applyProtection="1" pivotButton="0" quotePrefix="0" xfId="0">
      <alignment horizontal="left" vertical="center"/>
      <protection locked="0" hidden="0"/>
    </xf>
    <xf numFmtId="0" fontId="5" fillId="0" borderId="1" applyAlignment="1" applyProtection="1" pivotButton="0" quotePrefix="0" xfId="0">
      <alignment horizontal="left" vertical="center"/>
      <protection locked="0" hidden="0"/>
    </xf>
    <xf numFmtId="0" fontId="0" fillId="4" borderId="3" applyProtection="1" pivotButton="0" quotePrefix="0" xfId="0">
      <protection locked="0" hidden="0"/>
    </xf>
    <xf numFmtId="164" fontId="5" fillId="8" borderId="2" applyAlignment="1" applyProtection="1" pivotButton="0" quotePrefix="0" xfId="0">
      <alignment horizontal="right" vertical="center"/>
      <protection locked="0" hidden="0"/>
    </xf>
    <xf numFmtId="0" fontId="19" fillId="0" borderId="3" applyAlignment="1" applyProtection="1" pivotButton="0" quotePrefix="0" xfId="0">
      <alignment horizontal="left" vertical="center"/>
      <protection locked="0" hidden="0"/>
    </xf>
    <xf numFmtId="0" fontId="0" fillId="6" borderId="3" applyProtection="1" pivotButton="0" quotePrefix="0" xfId="0">
      <protection locked="0" hidden="0"/>
    </xf>
    <xf numFmtId="9" fontId="5" fillId="8" borderId="2" applyAlignment="1" applyProtection="1" pivotButton="0" quotePrefix="0" xfId="0">
      <alignment horizontal="right" vertical="center"/>
      <protection locked="0" hidden="0"/>
    </xf>
    <xf numFmtId="164" fontId="6" fillId="0" borderId="2" applyAlignment="1" pivotButton="0" quotePrefix="0" xfId="0">
      <alignment horizontal="right" vertical="center"/>
    </xf>
    <xf numFmtId="10" fontId="5" fillId="8" borderId="2" applyAlignment="1" applyProtection="1" pivotButton="0" quotePrefix="0" xfId="0">
      <alignment horizontal="right" vertical="center"/>
      <protection locked="0" hidden="0"/>
    </xf>
    <xf numFmtId="3" fontId="5" fillId="8" borderId="2" applyAlignment="1" applyProtection="1" pivotButton="0" quotePrefix="0" xfId="0">
      <alignment horizontal="right" vertical="center"/>
      <protection locked="0" hidden="0"/>
    </xf>
    <xf numFmtId="0" fontId="7" fillId="0" borderId="0" applyAlignment="1" applyProtection="1" pivotButton="0" quotePrefix="0" xfId="0">
      <alignment horizontal="left" vertical="center"/>
      <protection locked="0" hidden="0"/>
    </xf>
    <xf numFmtId="164" fontId="8" fillId="0" borderId="0" applyAlignment="1" pivotButton="0" quotePrefix="0" xfId="0">
      <alignment horizontal="right" vertical="center"/>
    </xf>
    <xf numFmtId="10" fontId="6" fillId="0" borderId="2" applyAlignment="1" pivotButton="0" quotePrefix="0" xfId="0">
      <alignment horizontal="right" vertical="center"/>
    </xf>
    <xf numFmtId="49" fontId="8" fillId="0" borderId="0" applyAlignment="1" pivotButton="0" quotePrefix="0" xfId="0">
      <alignment horizontal="right" vertical="center"/>
    </xf>
    <xf numFmtId="166" fontId="6" fillId="0" borderId="2" applyAlignment="1" pivotButton="0" quotePrefix="0" xfId="0">
      <alignment horizontal="right" vertical="center"/>
    </xf>
    <xf numFmtId="167" fontId="6" fillId="0" borderId="2" applyAlignment="1" pivotButton="0" quotePrefix="0" xfId="0">
      <alignment horizontal="right" vertical="center"/>
    </xf>
    <xf numFmtId="0" fontId="7" fillId="0" borderId="0" applyAlignment="1" applyProtection="1" pivotButton="0" quotePrefix="0" xfId="0">
      <alignment horizontal="center" vertical="center"/>
      <protection locked="0" hidden="0"/>
    </xf>
    <xf numFmtId="164" fontId="9" fillId="0" borderId="2" applyAlignment="1" pivotButton="0" quotePrefix="0" xfId="0">
      <alignment horizontal="right" vertical="center"/>
    </xf>
    <xf numFmtId="0" fontId="19" fillId="0" borderId="2" applyAlignment="1" applyProtection="1" pivotButton="0" quotePrefix="0" xfId="0">
      <alignment horizontal="center" vertical="center"/>
      <protection locked="0" hidden="0"/>
    </xf>
    <xf numFmtId="0" fontId="9" fillId="0" borderId="2" applyAlignment="1" pivotButton="0" quotePrefix="0" xfId="0">
      <alignment horizontal="center" vertical="center"/>
    </xf>
    <xf numFmtId="0" fontId="9" fillId="6" borderId="2" applyAlignment="1" applyProtection="1" pivotButton="0" quotePrefix="0" xfId="0">
      <alignment horizontal="center" vertical="center"/>
      <protection locked="0" hidden="0"/>
    </xf>
    <xf numFmtId="167" fontId="9" fillId="0" borderId="2" applyAlignment="1" pivotButton="0" quotePrefix="0" xfId="0">
      <alignment horizontal="right" vertical="center"/>
    </xf>
    <xf numFmtId="166" fontId="9" fillId="0" borderId="2" applyAlignment="1" pivotButton="0" quotePrefix="0" xfId="0">
      <alignment horizontal="right" vertical="center"/>
    </xf>
    <xf numFmtId="10" fontId="9" fillId="0" borderId="2" applyAlignment="1" pivotButton="0" quotePrefix="0" xfId="0">
      <alignment horizontal="right" vertical="center"/>
    </xf>
    <xf numFmtId="49" fontId="9" fillId="0" borderId="2" applyAlignment="1" pivotButton="0" quotePrefix="0" xfId="0">
      <alignment horizontal="right" vertical="center"/>
    </xf>
    <xf numFmtId="0" fontId="8" fillId="0" borderId="0" applyAlignment="1" applyProtection="1" pivotButton="0" quotePrefix="0" xfId="0">
      <alignment horizontal="left" vertical="center"/>
      <protection locked="0" hidden="0"/>
    </xf>
    <xf numFmtId="0" fontId="10" fillId="0" borderId="0" applyAlignment="1" pivotButton="0" quotePrefix="0" xfId="0">
      <alignment horizontal="center" vertical="center"/>
    </xf>
    <xf numFmtId="0" fontId="5" fillId="0" borderId="1" applyAlignment="1" applyProtection="1" pivotButton="0" quotePrefix="0" xfId="0">
      <alignment horizontal="left" vertical="center" wrapText="1"/>
      <protection locked="0" hidden="0"/>
    </xf>
    <xf numFmtId="0" fontId="13" fillId="2" borderId="4" applyAlignment="1" pivotButton="0" quotePrefix="0" xfId="0">
      <alignment horizontal="center" vertical="center" wrapText="1"/>
    </xf>
    <xf numFmtId="0" fontId="0" fillId="6" borderId="4" pivotButton="0" quotePrefix="0" xfId="0"/>
    <xf numFmtId="0" fontId="21" fillId="2" borderId="4" applyAlignment="1" pivotButton="0" quotePrefix="0" xfId="0">
      <alignment horizontal="center" vertical="center" wrapText="1"/>
    </xf>
    <xf numFmtId="0" fontId="20" fillId="6" borderId="4" pivotButton="0" quotePrefix="0" xfId="0"/>
    <xf numFmtId="0" fontId="20" fillId="6" borderId="4" applyProtection="1" pivotButton="0" quotePrefix="0" xfId="0">
      <protection locked="0" hidden="0"/>
    </xf>
    <xf numFmtId="0" fontId="22" fillId="9" borderId="5" applyAlignment="1" applyProtection="1" pivotButton="0" quotePrefix="0" xfId="0">
      <alignment horizontal="center" vertical="center" wrapText="1"/>
      <protection locked="0" hidden="0"/>
    </xf>
    <xf numFmtId="0" fontId="22" fillId="9" borderId="5" applyAlignment="1" pivotButton="0" quotePrefix="0" xfId="0">
      <alignment horizontal="center" vertical="center" wrapText="1"/>
    </xf>
    <xf numFmtId="168" fontId="23" fillId="6" borderId="5" applyAlignment="1" applyProtection="1" pivotButton="0" quotePrefix="0" xfId="0">
      <alignment horizontal="center" vertical="center" wrapText="1"/>
      <protection locked="0" hidden="0"/>
    </xf>
    <xf numFmtId="168" fontId="23" fillId="6" borderId="5" applyAlignment="1" pivotButton="0" quotePrefix="0" xfId="0">
      <alignment horizontal="center" vertical="center" wrapText="1"/>
    </xf>
    <xf numFmtId="164" fontId="20" fillId="6" borderId="4" pivotButton="0" quotePrefix="0" xfId="0"/>
    <xf numFmtId="168" fontId="12" fillId="6" borderId="5" applyAlignment="1" applyProtection="1" pivotButton="0" quotePrefix="0" xfId="0">
      <alignment horizontal="center" vertical="center" wrapText="1"/>
      <protection locked="0" hidden="0"/>
    </xf>
    <xf numFmtId="10" fontId="23" fillId="6" borderId="5" applyAlignment="1" pivotButton="0" quotePrefix="0" xfId="0">
      <alignment horizontal="center" vertical="center" wrapText="1"/>
    </xf>
    <xf numFmtId="49" fontId="24" fillId="6" borderId="5" applyAlignment="1" pivotButton="0" quotePrefix="0" xfId="0">
      <alignment horizontal="center" vertical="center" wrapText="1"/>
    </xf>
    <xf numFmtId="0" fontId="25" fillId="2" borderId="4" applyAlignment="1" pivotButton="0" quotePrefix="0" xfId="0">
      <alignment horizontal="center" vertical="center" wrapText="1"/>
    </xf>
    <xf numFmtId="0" fontId="26" fillId="9" borderId="4" applyAlignment="1" pivotButton="0" quotePrefix="0" xfId="0">
      <alignment horizontal="left" vertical="center" wrapText="1" indent="1"/>
    </xf>
    <xf numFmtId="0" fontId="27" fillId="2" borderId="4" applyAlignment="1" pivotButton="0" quotePrefix="0" xfId="0">
      <alignment horizontal="left" vertical="center" wrapText="1" indent="1"/>
    </xf>
    <xf numFmtId="0" fontId="20" fillId="6" borderId="4" applyAlignment="1" applyProtection="1" pivotButton="0" quotePrefix="0" xfId="0">
      <alignment horizontal="left" vertical="center" wrapText="1" indent="1"/>
      <protection locked="0" hidden="0"/>
    </xf>
    <xf numFmtId="168" fontId="28" fillId="10" borderId="5" applyAlignment="1" applyProtection="1" pivotButton="0" quotePrefix="0" xfId="0">
      <alignment horizontal="center" vertical="center" wrapText="1"/>
      <protection locked="0" hidden="0"/>
    </xf>
    <xf numFmtId="0" fontId="26" fillId="6" borderId="4" applyAlignment="1" applyProtection="1" pivotButton="0" quotePrefix="0" xfId="0">
      <alignment horizontal="left" vertical="center" wrapText="1" indent="1"/>
      <protection locked="0" hidden="0"/>
    </xf>
    <xf numFmtId="168" fontId="29" fillId="11" borderId="5" applyAlignment="1" applyProtection="1" pivotButton="0" quotePrefix="0" xfId="0">
      <alignment horizontal="center" vertical="center" wrapText="1"/>
      <protection locked="0" hidden="0"/>
    </xf>
    <xf numFmtId="9" fontId="28" fillId="10" borderId="5" applyAlignment="1" applyProtection="1" pivotButton="0" quotePrefix="0" xfId="0">
      <alignment horizontal="center" vertical="center" wrapText="1"/>
      <protection locked="0" hidden="0"/>
    </xf>
    <xf numFmtId="168" fontId="28" fillId="11" borderId="5" applyAlignment="1" applyProtection="1" pivotButton="0" quotePrefix="0" xfId="0">
      <alignment horizontal="center" vertical="center" wrapText="1"/>
      <protection locked="0" hidden="0"/>
    </xf>
    <xf numFmtId="168" fontId="30" fillId="2" borderId="5" applyAlignment="1" applyProtection="1" pivotButton="0" quotePrefix="0" xfId="0">
      <alignment horizontal="center" vertical="center" wrapText="1"/>
      <protection locked="0" hidden="0"/>
    </xf>
    <xf numFmtId="10" fontId="20" fillId="6" borderId="4" applyProtection="1" pivotButton="0" quotePrefix="0" xfId="0">
      <protection locked="0" hidden="0"/>
    </xf>
    <xf numFmtId="3" fontId="20" fillId="6" borderId="4" applyProtection="1" pivotButton="0" quotePrefix="0" xfId="0">
      <protection locked="0" hidden="0"/>
    </xf>
    <xf numFmtId="9" fontId="28" fillId="10" borderId="5" applyAlignment="1" pivotButton="0" quotePrefix="0" xfId="0">
      <alignment horizontal="center" vertical="center" wrapText="1"/>
    </xf>
    <xf numFmtId="0" fontId="26" fillId="6" borderId="4" applyAlignment="1" pivotButton="0" quotePrefix="0" xfId="0">
      <alignment horizontal="left" vertical="center" wrapText="1" indent="1"/>
    </xf>
    <xf numFmtId="10" fontId="20" fillId="6" borderId="4" pivotButton="0" quotePrefix="0" xfId="0"/>
    <xf numFmtId="10" fontId="28" fillId="10" borderId="5" applyAlignment="1" applyProtection="1" pivotButton="0" quotePrefix="0" xfId="0">
      <alignment horizontal="center" vertical="center" wrapText="1"/>
      <protection locked="0" hidden="0"/>
    </xf>
    <xf numFmtId="0" fontId="28" fillId="10" borderId="5" applyAlignment="1" applyProtection="1" pivotButton="0" quotePrefix="0" xfId="0">
      <alignment horizontal="center" vertical="center" wrapText="1"/>
      <protection locked="0" hidden="0"/>
    </xf>
    <xf numFmtId="168" fontId="29" fillId="11" borderId="5" applyAlignment="1" pivotButton="0" quotePrefix="0" xfId="0">
      <alignment horizontal="center" vertical="center" wrapText="1"/>
    </xf>
    <xf numFmtId="49" fontId="20" fillId="6" borderId="4" pivotButton="0" quotePrefix="0" xfId="0"/>
    <xf numFmtId="0" fontId="31" fillId="12" borderId="0" applyAlignment="1" pivotButton="0" quotePrefix="0" xfId="0">
      <alignment horizontal="left" vertical="center" wrapText="1" indent="1"/>
    </xf>
    <xf numFmtId="168" fontId="23" fillId="9" borderId="5" applyAlignment="1" applyProtection="1" pivotButton="0" quotePrefix="0" xfId="0">
      <alignment horizontal="center" vertical="center" wrapText="1"/>
      <protection locked="0" hidden="0"/>
    </xf>
    <xf numFmtId="168" fontId="32" fillId="11" borderId="5" applyAlignment="1" applyProtection="1" pivotButton="0" quotePrefix="0" xfId="0">
      <alignment horizontal="center" vertical="center" wrapText="1"/>
      <protection locked="0" hidden="0"/>
    </xf>
    <xf numFmtId="10" fontId="28" fillId="11" borderId="5" applyAlignment="1" applyProtection="1" pivotButton="0" quotePrefix="0" xfId="0">
      <alignment horizontal="center" vertical="center" wrapText="1"/>
      <protection locked="0" hidden="0"/>
    </xf>
    <xf numFmtId="2" fontId="28" fillId="11" borderId="5" applyAlignment="1" applyProtection="1" pivotButton="0" quotePrefix="0" xfId="0">
      <alignment horizontal="center" vertical="center" wrapText="1"/>
      <protection locked="0" hidden="0"/>
    </xf>
    <xf numFmtId="0" fontId="33" fillId="2" borderId="5" applyAlignment="1" applyProtection="1" pivotButton="0" quotePrefix="0" xfId="0">
      <alignment horizontal="center" vertical="center" wrapText="1"/>
      <protection locked="0" hidden="0"/>
    </xf>
    <xf numFmtId="0" fontId="20" fillId="13" borderId="6" applyAlignment="1" applyProtection="1" pivotButton="0" quotePrefix="0" xfId="0">
      <alignment horizontal="left" vertical="center" wrapText="1" indent="1"/>
      <protection locked="0" hidden="0"/>
    </xf>
    <xf numFmtId="168" fontId="34" fillId="13" borderId="6" applyAlignment="1" pivotButton="0" quotePrefix="0" xfId="0">
      <alignment horizontal="center" vertical="center" wrapText="1"/>
    </xf>
    <xf numFmtId="0" fontId="26" fillId="13" borderId="6" applyAlignment="1" pivotButton="0" quotePrefix="0" xfId="0">
      <alignment horizontal="center" vertical="center" wrapText="1"/>
    </xf>
    <xf numFmtId="0" fontId="34" fillId="13" borderId="6" applyAlignment="1" pivotButton="0" quotePrefix="0" xfId="0">
      <alignment horizontal="center" vertical="center" wrapText="1"/>
    </xf>
    <xf numFmtId="0" fontId="20" fillId="6" borderId="6" applyAlignment="1" applyProtection="1" pivotButton="0" quotePrefix="0" xfId="0">
      <alignment horizontal="left" vertical="center" wrapText="1" indent="1"/>
      <protection locked="0" hidden="0"/>
    </xf>
    <xf numFmtId="168" fontId="34" fillId="6" borderId="6" applyAlignment="1" applyProtection="1" pivotButton="0" quotePrefix="0" xfId="0">
      <alignment horizontal="center" vertical="center" wrapText="1"/>
      <protection locked="0" hidden="0"/>
    </xf>
    <xf numFmtId="0" fontId="26" fillId="6" borderId="6" applyAlignment="1" applyProtection="1" pivotButton="0" quotePrefix="0" xfId="0">
      <alignment horizontal="center" vertical="center" wrapText="1"/>
      <protection locked="0" hidden="0"/>
    </xf>
    <xf numFmtId="0" fontId="34" fillId="6" borderId="6" applyAlignment="1" applyProtection="1" pivotButton="0" quotePrefix="0" xfId="0">
      <alignment horizontal="center" vertical="center" wrapText="1"/>
      <protection locked="0" hidden="0"/>
    </xf>
    <xf numFmtId="168" fontId="34" fillId="13" borderId="6" applyAlignment="1" applyProtection="1" pivotButton="0" quotePrefix="0" xfId="0">
      <alignment horizontal="center" vertical="center" wrapText="1"/>
      <protection locked="0" hidden="0"/>
    </xf>
    <xf numFmtId="0" fontId="26" fillId="13" borderId="6" applyAlignment="1" applyProtection="1" pivotButton="0" quotePrefix="0" xfId="0">
      <alignment horizontal="center" vertical="center" wrapText="1"/>
      <protection locked="0" hidden="0"/>
    </xf>
    <xf numFmtId="0" fontId="34" fillId="13" borderId="6" applyAlignment="1" applyProtection="1" pivotButton="0" quotePrefix="0" xfId="0">
      <alignment horizontal="center" vertical="center" wrapText="1"/>
      <protection locked="0" hidden="0"/>
    </xf>
    <xf numFmtId="168" fontId="34" fillId="6" borderId="6" applyAlignment="1" pivotButton="0" quotePrefix="0" xfId="0">
      <alignment horizontal="center" vertical="center" wrapText="1"/>
    </xf>
    <xf numFmtId="0" fontId="34" fillId="6" borderId="6" applyAlignment="1" pivotButton="0" quotePrefix="0" xfId="0">
      <alignment horizontal="center" vertical="center" wrapText="1"/>
    </xf>
    <xf numFmtId="2" fontId="34" fillId="6" borderId="6" applyAlignment="1" pivotButton="0" quotePrefix="0" xfId="0">
      <alignment horizontal="center" vertical="center" wrapText="1"/>
    </xf>
    <xf numFmtId="167" fontId="20" fillId="6" borderId="4" pivotButton="0" quotePrefix="0" xfId="0"/>
    <xf numFmtId="166" fontId="20" fillId="6" borderId="4" pivotButton="0" quotePrefix="0" xfId="0"/>
    <xf numFmtId="0" fontId="0" fillId="0" borderId="9" applyProtection="1" pivotButton="0" quotePrefix="0" xfId="0">
      <protection locked="0" hidden="0"/>
    </xf>
    <xf numFmtId="0" fontId="0" fillId="0" borderId="10" applyProtection="1" pivotButton="0" quotePrefix="0" xfId="0">
      <protection locked="0" hidden="0"/>
    </xf>
    <xf numFmtId="0" fontId="0" fillId="0" borderId="9" pivotButton="0" quotePrefix="0" xfId="0"/>
    <xf numFmtId="0" fontId="0" fillId="0" borderId="10" pivotButton="0" quotePrefix="0" xfId="0"/>
    <xf numFmtId="0" fontId="25" fillId="2" borderId="4" applyAlignment="1" pivotButton="0" quotePrefix="0" xfId="0">
      <alignment horizontal="left" vertical="center" wrapText="1" indent="1"/>
    </xf>
    <xf numFmtId="0" fontId="35" fillId="9" borderId="4" applyAlignment="1" pivotButton="0" quotePrefix="0" xfId="0">
      <alignment horizontal="left" vertical="top" wrapText="1" indent="2"/>
    </xf>
    <xf numFmtId="0" fontId="26" fillId="6" borderId="11" applyAlignment="1" applyProtection="1" pivotButton="0" quotePrefix="0" xfId="0">
      <alignment horizontal="left" vertical="center" wrapText="1" indent="1"/>
      <protection locked="0" hidden="0"/>
    </xf>
    <xf numFmtId="0" fontId="15" fillId="2" borderId="4" applyAlignment="1" pivotButton="0" quotePrefix="0" xfId="0">
      <alignment horizontal="center" vertical="center" wrapText="1"/>
    </xf>
    <xf numFmtId="0" fontId="36" fillId="2" borderId="4" applyAlignment="1" pivotButton="0" quotePrefix="0" xfId="0">
      <alignment horizontal="center" vertical="center" wrapText="1"/>
    </xf>
    <xf numFmtId="0" fontId="37" fillId="2" borderId="12" applyAlignment="1" applyProtection="1" pivotButton="0" quotePrefix="0" xfId="0">
      <alignment horizontal="center" vertical="center" wrapText="1"/>
      <protection locked="0" hidden="0"/>
    </xf>
    <xf numFmtId="0" fontId="37" fillId="2" borderId="12" applyAlignment="1" pivotButton="0" quotePrefix="0" xfId="0">
      <alignment horizontal="center" vertical="center" wrapText="1"/>
    </xf>
    <xf numFmtId="168" fontId="38" fillId="6" borderId="12" applyAlignment="1" applyProtection="1" pivotButton="0" quotePrefix="0" xfId="0">
      <alignment horizontal="center" vertical="center" wrapText="1"/>
      <protection locked="0" hidden="0"/>
    </xf>
    <xf numFmtId="168" fontId="38" fillId="6" borderId="12" applyAlignment="1" pivotButton="0" quotePrefix="0" xfId="0">
      <alignment horizontal="center" vertical="center" wrapText="1"/>
    </xf>
    <xf numFmtId="168" fontId="10" fillId="6" borderId="12" applyAlignment="1" applyProtection="1" pivotButton="0" quotePrefix="0" xfId="0">
      <alignment horizontal="center" vertical="center" wrapText="1"/>
      <protection locked="0" hidden="0"/>
    </xf>
    <xf numFmtId="10" fontId="38" fillId="6" borderId="12" applyAlignment="1" pivotButton="0" quotePrefix="0" xfId="0">
      <alignment horizontal="center" vertical="center" wrapText="1"/>
    </xf>
    <xf numFmtId="49" fontId="39" fillId="6" borderId="12"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Capital Flow Analysis</a:t>
            </a:r>
          </a:p>
        </rich>
      </tx>
    </title>
    <plotArea>
      <barChart>
        <barDir val="col"/>
        <grouping val="clustered"/>
        <ser>
          <idx val="0"/>
          <order val="0"/>
          <tx>
            <strRef>
              <f>'Dashboard'!I15</f>
            </strRef>
          </tx>
          <spPr>
            <a:solidFill xmlns:a="http://schemas.openxmlformats.org/drawingml/2006/main">
              <a:srgbClr val="F4A61F"/>
            </a:solidFill>
            <a:ln xmlns:a="http://schemas.openxmlformats.org/drawingml/2006/main">
              <a:solidFill>
                <a:srgbClr val="1B2A4A"/>
              </a:solidFill>
              <a:prstDash val="solid"/>
            </a:ln>
          </spPr>
          <cat>
            <numRef>
              <f>'Dashboard'!$H$16:$H$18</f>
            </numRef>
          </cat>
          <val>
            <numRef>
              <f>'Dashboard'!$I$16:$I$18</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None</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Dollars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1</col>
      <colOff>0</colOff>
      <row>14</row>
      <rowOff>0</rowOff>
    </from>
    <ext cx="720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1B2A4A"/>
    <outlinePr summaryBelow="1" summaryRight="1"/>
    <pageSetUpPr/>
  </sheetPr>
  <dimension ref="A1:AN60"/>
  <sheetViews>
    <sheetView showGridLines="0" tabSelected="1" workbookViewId="0">
      <selection activeCell="A1" sqref="A1"/>
    </sheetView>
  </sheetViews>
  <sheetFormatPr baseColWidth="8" defaultRowHeight="15"/>
  <cols>
    <col width="2" customWidth="1" min="1" max="1"/>
    <col width="15" customWidth="1" min="2" max="2"/>
    <col width="9" customWidth="1" min="3" max="3"/>
    <col width="13" customWidth="1" min="4" max="4"/>
    <col width="3" customWidth="1" min="5" max="5"/>
    <col width="15" customWidth="1" min="6" max="6"/>
    <col width="9" customWidth="1" min="7" max="7"/>
    <col width="13" customWidth="1" min="8" max="8"/>
    <col width="3" customWidth="1" min="9" max="9"/>
    <col width="15" customWidth="1" min="10" max="10"/>
    <col width="9" customWidth="1" min="11" max="11"/>
    <col width="13" customWidth="1" min="12" max="12"/>
    <col width="2" customWidth="1" min="13" max="13"/>
  </cols>
  <sheetData>
    <row r="1" ht="40" customHeight="1">
      <c r="A1" s="154" t="inlineStr">
        <is>
          <t>MyClearBudget — BRRRR Strategy Calculator</t>
        </is>
      </c>
      <c r="M1" s="96" t="n"/>
      <c r="N1" s="96" t="n"/>
      <c r="O1" s="96" t="n"/>
      <c r="P1" s="96" t="n"/>
      <c r="Q1" s="96" t="n"/>
      <c r="R1" s="96" t="n"/>
      <c r="S1" s="96" t="n"/>
      <c r="T1" s="96" t="n"/>
      <c r="U1" s="96" t="n"/>
      <c r="V1" s="96" t="n"/>
      <c r="W1" s="96" t="n"/>
      <c r="X1" s="96" t="n"/>
      <c r="Y1" s="96" t="n"/>
      <c r="Z1" s="96" t="n"/>
      <c r="AA1" s="96" t="n"/>
      <c r="AB1" s="96" t="n"/>
      <c r="AC1" s="96" t="n"/>
      <c r="AD1" s="96" t="n"/>
      <c r="AE1" s="96" t="n"/>
      <c r="AF1" s="96" t="n"/>
      <c r="AG1" s="96" t="n"/>
      <c r="AH1" s="96" t="n"/>
      <c r="AI1" s="96" t="n"/>
      <c r="AJ1" s="96" t="n"/>
      <c r="AK1" s="96" t="n"/>
      <c r="AL1" s="96" t="n"/>
      <c r="AM1" s="96" t="n"/>
      <c r="AN1" s="96" t="n"/>
    </row>
    <row r="2" ht="24" customHeight="1">
      <c r="A2" s="155" t="inlineStr">
        <is>
          <t>Buy · Rehab · Rent · Refinance · Repeat</t>
        </is>
      </c>
      <c r="M2" s="96" t="n"/>
      <c r="N2" s="96" t="n"/>
      <c r="O2" s="96" t="n"/>
      <c r="P2" s="96" t="n"/>
      <c r="Q2" s="96" t="n"/>
      <c r="R2" s="96" t="n"/>
      <c r="S2" s="96" t="n"/>
      <c r="T2" s="96" t="n"/>
      <c r="U2" s="96" t="n"/>
      <c r="V2" s="96" t="n"/>
      <c r="W2" s="96" t="n"/>
      <c r="X2" s="96" t="n"/>
      <c r="Y2" s="96" t="n"/>
      <c r="Z2" s="96" t="n"/>
      <c r="AA2" s="96" t="n"/>
      <c r="AB2" s="96" t="n"/>
      <c r="AC2" s="96" t="n"/>
      <c r="AD2" s="96" t="n"/>
      <c r="AE2" s="96" t="n"/>
      <c r="AF2" s="96" t="n"/>
      <c r="AG2" s="96" t="n"/>
      <c r="AH2" s="96" t="n"/>
      <c r="AI2" s="96" t="n"/>
      <c r="AJ2" s="96" t="n"/>
      <c r="AK2" s="96" t="n"/>
      <c r="AL2" s="96" t="n"/>
      <c r="AM2" s="96" t="n"/>
      <c r="AN2" s="96" t="n"/>
    </row>
    <row r="3" ht="12" customHeight="1">
      <c r="A3" s="96" t="n"/>
      <c r="B3" s="97" t="n"/>
      <c r="C3" s="96" t="n"/>
      <c r="D3" s="96" t="n"/>
      <c r="E3" s="96" t="n"/>
      <c r="F3" s="96" t="n"/>
      <c r="G3" s="97" t="n"/>
      <c r="H3" s="97" t="n"/>
      <c r="I3" s="97" t="n"/>
      <c r="J3" s="96" t="n"/>
      <c r="K3" s="96" t="n"/>
      <c r="L3" s="96" t="n"/>
      <c r="M3" s="96" t="n"/>
      <c r="N3" s="96" t="n"/>
      <c r="O3" s="96" t="n"/>
      <c r="P3" s="96" t="n"/>
      <c r="Q3" s="96" t="n"/>
      <c r="R3" s="96" t="n"/>
      <c r="S3" s="96" t="n"/>
      <c r="T3" s="96" t="n"/>
      <c r="U3" s="96" t="n"/>
      <c r="V3" s="96" t="n"/>
      <c r="W3" s="96" t="n"/>
      <c r="X3" s="96" t="n"/>
      <c r="Y3" s="96" t="n"/>
      <c r="Z3" s="96" t="n"/>
      <c r="AA3" s="96" t="n"/>
      <c r="AB3" s="96" t="n"/>
      <c r="AC3" s="96" t="n"/>
      <c r="AD3" s="96" t="n"/>
      <c r="AE3" s="96" t="n"/>
      <c r="AF3" s="96" t="n"/>
      <c r="AG3" s="96" t="n"/>
      <c r="AH3" s="96" t="n"/>
      <c r="AI3" s="96" t="n"/>
      <c r="AJ3" s="96" t="n"/>
      <c r="AK3" s="96" t="n"/>
      <c r="AL3" s="96" t="n"/>
      <c r="AM3" s="96" t="n"/>
      <c r="AN3" s="96" t="n"/>
    </row>
    <row r="4" ht="18" customHeight="1">
      <c r="A4" s="96" t="n"/>
      <c r="B4" s="156" t="inlineStr">
        <is>
          <t>INITIAL CASH INVESTED</t>
        </is>
      </c>
      <c r="C4" s="54" t="n"/>
      <c r="D4" s="54" t="n"/>
      <c r="E4" s="97" t="n"/>
      <c r="F4" s="156" t="inlineStr">
        <is>
          <t>AFTER REPAIR VALUE (ARV)</t>
        </is>
      </c>
      <c r="G4" s="54" t="n"/>
      <c r="H4" s="54" t="n"/>
      <c r="I4" s="97" t="n"/>
      <c r="J4" s="157" t="inlineStr">
        <is>
          <t>REFINANCE LOAN AMOUNT</t>
        </is>
      </c>
      <c r="M4" s="96" t="n"/>
      <c r="N4" s="96" t="n"/>
      <c r="O4" s="96" t="n"/>
      <c r="P4" s="96" t="n"/>
      <c r="Q4" s="96" t="n"/>
      <c r="R4" s="96" t="n"/>
      <c r="S4" s="96" t="n"/>
      <c r="T4" s="96" t="n"/>
      <c r="U4" s="96" t="n"/>
      <c r="V4" s="96" t="n"/>
      <c r="W4" s="96" t="n"/>
      <c r="X4" s="96" t="n"/>
      <c r="Y4" s="96" t="n"/>
      <c r="Z4" s="96" t="n"/>
      <c r="AA4" s="96" t="n"/>
      <c r="AB4" s="96" t="n"/>
      <c r="AC4" s="96" t="n"/>
      <c r="AD4" s="96" t="n"/>
      <c r="AE4" s="96" t="n"/>
      <c r="AF4" s="96" t="n"/>
      <c r="AG4" s="96" t="n"/>
      <c r="AH4" s="96" t="n"/>
      <c r="AI4" s="96" t="n"/>
      <c r="AJ4" s="96" t="n"/>
      <c r="AK4" s="96" t="n"/>
      <c r="AL4" s="96" t="n"/>
      <c r="AM4" s="96" t="n"/>
      <c r="AN4" s="96" t="n"/>
    </row>
    <row r="5" ht="36" customHeight="1">
      <c r="A5" s="96" t="n"/>
      <c r="B5" s="158">
        <f>'Refinance Analysis'!C18</f>
        <v/>
      </c>
      <c r="C5" s="54" t="n"/>
      <c r="D5" s="54" t="n"/>
      <c r="E5" s="97" t="n"/>
      <c r="F5" s="158">
        <f>'Refinance Analysis'!C7</f>
        <v/>
      </c>
      <c r="G5" s="54" t="n"/>
      <c r="H5" s="54" t="n"/>
      <c r="I5" s="97" t="n"/>
      <c r="J5" s="159">
        <f>'Refinance Analysis'!C9</f>
        <v/>
      </c>
      <c r="M5" s="96" t="n"/>
      <c r="N5" s="96" t="n"/>
      <c r="O5" s="96" t="n"/>
      <c r="P5" s="96" t="n"/>
      <c r="Q5" s="96" t="n"/>
      <c r="R5" s="96" t="n"/>
      <c r="S5" s="96" t="n"/>
      <c r="T5" s="96" t="n"/>
      <c r="U5" s="96" t="n"/>
      <c r="V5" s="96" t="n"/>
      <c r="W5" s="96" t="n"/>
      <c r="X5" s="96" t="n"/>
      <c r="Y5" s="96" t="n"/>
      <c r="Z5" s="96" t="n"/>
      <c r="AA5" s="96" t="n"/>
      <c r="AB5" s="96" t="n"/>
      <c r="AC5" s="96" t="n"/>
      <c r="AD5" s="96" t="n"/>
      <c r="AE5" s="96" t="n"/>
      <c r="AF5" s="96" t="n"/>
      <c r="AG5" s="96" t="n"/>
      <c r="AH5" s="96" t="n"/>
      <c r="AI5" s="96" t="n"/>
      <c r="AJ5" s="96" t="n"/>
      <c r="AK5" s="96" t="n"/>
      <c r="AL5" s="96" t="n"/>
      <c r="AM5" s="96" t="n"/>
      <c r="AN5" s="96" t="n"/>
    </row>
    <row r="6" ht="6" customHeight="1">
      <c r="A6" s="96" t="n"/>
      <c r="B6" s="97" t="n"/>
      <c r="C6" s="97" t="n"/>
      <c r="D6" s="97" t="n"/>
      <c r="E6" s="97" t="n"/>
      <c r="F6" s="97" t="n"/>
      <c r="G6" s="97" t="n"/>
      <c r="H6" s="97" t="n"/>
      <c r="I6" s="97" t="n"/>
      <c r="J6" s="96" t="n"/>
      <c r="K6" s="96" t="n"/>
      <c r="L6" s="96" t="n"/>
      <c r="M6" s="96" t="n"/>
      <c r="N6" s="96" t="n"/>
      <c r="O6" s="96" t="n"/>
      <c r="P6" s="96" t="n"/>
      <c r="Q6" s="96" t="n"/>
      <c r="R6" s="96" t="n"/>
      <c r="S6" s="96" t="n"/>
      <c r="T6" s="96" t="n"/>
      <c r="U6" s="96" t="n"/>
      <c r="V6" s="96" t="n"/>
      <c r="W6" s="96" t="n"/>
      <c r="X6" s="96" t="n"/>
      <c r="Y6" s="96" t="n"/>
      <c r="Z6" s="96" t="n"/>
      <c r="AA6" s="96" t="n"/>
      <c r="AB6" s="96" t="n"/>
      <c r="AC6" s="96" t="n"/>
      <c r="AD6" s="96" t="n"/>
      <c r="AE6" s="96" t="n"/>
      <c r="AF6" s="96" t="n"/>
      <c r="AG6" s="96" t="n"/>
      <c r="AH6" s="96" t="n"/>
      <c r="AI6" s="96" t="n"/>
      <c r="AJ6" s="96" t="n"/>
      <c r="AK6" s="96" t="n"/>
      <c r="AL6" s="96" t="n"/>
      <c r="AM6" s="96" t="n"/>
      <c r="AN6" s="96" t="n"/>
    </row>
    <row r="7" ht="6" customHeight="1">
      <c r="A7" s="96" t="n"/>
      <c r="B7" s="102" t="n"/>
      <c r="C7" s="97" t="n"/>
      <c r="D7" s="102" t="n"/>
      <c r="E7" s="97" t="n"/>
      <c r="F7" s="102" t="n"/>
      <c r="G7" s="97" t="n"/>
      <c r="H7" s="97" t="n"/>
      <c r="I7" s="97" t="n"/>
      <c r="J7" s="96" t="n"/>
      <c r="K7" s="96" t="n"/>
      <c r="L7" s="96" t="n"/>
      <c r="M7" s="96" t="n"/>
      <c r="N7" s="96" t="n"/>
      <c r="O7" s="96" t="n"/>
      <c r="P7" s="96" t="n"/>
      <c r="Q7" s="96" t="n"/>
      <c r="R7" s="96" t="n"/>
      <c r="S7" s="96" t="n"/>
      <c r="T7" s="96" t="n"/>
      <c r="U7" s="96" t="n"/>
      <c r="V7" s="96" t="n"/>
      <c r="W7" s="96" t="n"/>
      <c r="X7" s="96" t="n"/>
      <c r="Y7" s="96" t="n"/>
      <c r="Z7" s="96" t="n"/>
      <c r="AA7" s="96" t="n"/>
      <c r="AB7" s="96" t="n"/>
      <c r="AC7" s="96" t="n"/>
      <c r="AD7" s="96" t="n"/>
      <c r="AE7" s="96" t="n"/>
      <c r="AF7" s="96" t="n"/>
      <c r="AG7" s="96" t="n"/>
      <c r="AH7" s="96" t="n"/>
      <c r="AI7" s="96" t="n"/>
      <c r="AJ7" s="96" t="n"/>
      <c r="AK7" s="96" t="n"/>
      <c r="AL7" s="96" t="n"/>
      <c r="AM7" s="96" t="n"/>
      <c r="AN7" s="96" t="n"/>
    </row>
    <row r="8" ht="18" customHeight="1">
      <c r="A8" s="96" t="n"/>
      <c r="B8" s="156" t="inlineStr">
        <is>
          <t>CASH PULLED OUT</t>
        </is>
      </c>
      <c r="C8" s="54" t="n"/>
      <c r="D8" s="54" t="n"/>
      <c r="E8" s="97" t="n"/>
      <c r="F8" s="156" t="inlineStr">
        <is>
          <t>EQUITY REMAINING</t>
        </is>
      </c>
      <c r="G8" s="54" t="n"/>
      <c r="H8" s="54" t="n"/>
      <c r="I8" s="97" t="n"/>
      <c r="J8" s="157" t="inlineStr">
        <is>
          <t>MONTHLY CASH FLOW</t>
        </is>
      </c>
      <c r="M8" s="96" t="n"/>
      <c r="N8" s="96" t="n"/>
      <c r="O8" s="96" t="n"/>
      <c r="P8" s="96" t="n"/>
      <c r="Q8" s="96" t="n"/>
      <c r="R8" s="96" t="n"/>
      <c r="S8" s="96" t="n"/>
      <c r="T8" s="96" t="n"/>
      <c r="U8" s="96" t="n"/>
      <c r="V8" s="96" t="n"/>
      <c r="W8" s="96" t="n"/>
      <c r="X8" s="96" t="n"/>
      <c r="Y8" s="96" t="n"/>
      <c r="Z8" s="96" t="n"/>
      <c r="AA8" s="96" t="n"/>
      <c r="AB8" s="96" t="n"/>
      <c r="AC8" s="96" t="n"/>
      <c r="AD8" s="96" t="n"/>
      <c r="AE8" s="96" t="n"/>
      <c r="AF8" s="96" t="n"/>
      <c r="AG8" s="96" t="n"/>
      <c r="AH8" s="96" t="n"/>
      <c r="AI8" s="96" t="n"/>
      <c r="AJ8" s="96" t="n"/>
      <c r="AK8" s="96" t="n"/>
      <c r="AL8" s="96" t="n"/>
      <c r="AM8" s="96" t="n"/>
      <c r="AN8" s="96" t="n"/>
    </row>
    <row r="9" ht="36" customHeight="1">
      <c r="A9" s="96" t="n"/>
      <c r="B9" s="160">
        <f>'Refinance Analysis'!C19</f>
        <v/>
      </c>
      <c r="C9" s="54" t="n"/>
      <c r="D9" s="54" t="n"/>
      <c r="E9" s="97" t="n"/>
      <c r="F9" s="158">
        <f>'Refinance Analysis'!C21</f>
        <v/>
      </c>
      <c r="G9" s="54" t="n"/>
      <c r="H9" s="54" t="n"/>
      <c r="I9" s="97" t="n"/>
      <c r="J9" s="159">
        <f>'Cash Flow Analysis'!C12</f>
        <v/>
      </c>
      <c r="M9" s="96" t="n"/>
      <c r="N9" s="96" t="n"/>
      <c r="O9" s="96" t="n"/>
      <c r="P9" s="96" t="n"/>
      <c r="Q9" s="96" t="n"/>
      <c r="R9" s="96" t="n"/>
      <c r="S9" s="96" t="n"/>
      <c r="T9" s="96" t="n"/>
      <c r="U9" s="96" t="n"/>
      <c r="V9" s="96" t="n"/>
      <c r="W9" s="96" t="n"/>
      <c r="X9" s="96" t="n"/>
      <c r="Y9" s="96" t="n"/>
      <c r="Z9" s="96" t="n"/>
      <c r="AA9" s="96" t="n"/>
      <c r="AB9" s="96" t="n"/>
      <c r="AC9" s="96" t="n"/>
      <c r="AD9" s="96" t="n"/>
      <c r="AE9" s="96" t="n"/>
      <c r="AF9" s="96" t="n"/>
      <c r="AG9" s="96" t="n"/>
      <c r="AH9" s="96" t="n"/>
      <c r="AI9" s="96" t="n"/>
      <c r="AJ9" s="96" t="n"/>
      <c r="AK9" s="96" t="n"/>
      <c r="AL9" s="96" t="n"/>
      <c r="AM9" s="96" t="n"/>
      <c r="AN9" s="96" t="n"/>
    </row>
    <row r="10" ht="6" customHeight="1">
      <c r="A10" s="96" t="n"/>
      <c r="B10" s="102" t="n"/>
      <c r="C10" s="97" t="n"/>
      <c r="D10" s="102" t="n"/>
      <c r="E10" s="97" t="n"/>
      <c r="F10" s="102" t="n"/>
      <c r="G10" s="97" t="n"/>
      <c r="H10" s="97" t="n"/>
      <c r="I10" s="97" t="n"/>
      <c r="J10" s="96" t="n"/>
      <c r="K10" s="96" t="n"/>
      <c r="L10" s="96" t="n"/>
      <c r="M10" s="96" t="n"/>
      <c r="N10" s="96" t="n"/>
      <c r="O10" s="96" t="n"/>
      <c r="P10" s="96" t="n"/>
      <c r="Q10" s="96" t="n"/>
      <c r="R10" s="96" t="n"/>
      <c r="S10" s="96" t="n"/>
      <c r="T10" s="96" t="n"/>
      <c r="U10" s="96" t="n"/>
      <c r="V10" s="96" t="n"/>
      <c r="W10" s="96" t="n"/>
      <c r="X10" s="96" t="n"/>
      <c r="Y10" s="96" t="n"/>
      <c r="Z10" s="96" t="n"/>
      <c r="AA10" s="96" t="n"/>
      <c r="AB10" s="96" t="n"/>
      <c r="AC10" s="96" t="n"/>
      <c r="AD10" s="96" t="n"/>
      <c r="AE10" s="96" t="n"/>
      <c r="AF10" s="96" t="n"/>
      <c r="AG10" s="96" t="n"/>
      <c r="AH10" s="96" t="n"/>
      <c r="AI10" s="96" t="n"/>
      <c r="AJ10" s="96" t="n"/>
      <c r="AK10" s="96" t="n"/>
      <c r="AL10" s="96" t="n"/>
      <c r="AM10" s="96" t="n"/>
      <c r="AN10" s="96" t="n"/>
    </row>
    <row r="11" ht="6" customHeight="1">
      <c r="A11" s="96" t="n"/>
      <c r="B11" s="97" t="n"/>
      <c r="C11" s="97" t="n"/>
      <c r="D11" s="97" t="n"/>
      <c r="E11" s="97" t="n"/>
      <c r="F11" s="97" t="n"/>
      <c r="G11" s="97" t="n"/>
      <c r="H11" s="97" t="n"/>
      <c r="I11" s="97" t="n"/>
      <c r="J11" s="96" t="n"/>
      <c r="K11" s="96" t="n"/>
      <c r="L11" s="96" t="n"/>
      <c r="M11" s="96" t="n"/>
      <c r="N11" s="96" t="n"/>
      <c r="O11" s="96" t="n"/>
      <c r="P11" s="96" t="n"/>
      <c r="Q11" s="96" t="n"/>
      <c r="R11" s="96" t="n"/>
      <c r="S11" s="96" t="n"/>
      <c r="T11" s="96" t="n"/>
      <c r="U11" s="96" t="n"/>
      <c r="V11" s="96" t="n"/>
      <c r="W11" s="96" t="n"/>
      <c r="X11" s="96" t="n"/>
      <c r="Y11" s="96" t="n"/>
      <c r="Z11" s="96" t="n"/>
      <c r="AA11" s="96" t="n"/>
      <c r="AB11" s="96" t="n"/>
      <c r="AC11" s="96" t="n"/>
      <c r="AD11" s="96" t="n"/>
      <c r="AE11" s="96" t="n"/>
      <c r="AF11" s="96" t="n"/>
      <c r="AG11" s="96" t="n"/>
      <c r="AH11" s="96" t="n"/>
      <c r="AI11" s="96" t="n"/>
      <c r="AJ11" s="96" t="n"/>
      <c r="AK11" s="96" t="n"/>
      <c r="AL11" s="96" t="n"/>
      <c r="AM11" s="96" t="n"/>
      <c r="AN11" s="96" t="n"/>
    </row>
    <row r="12" ht="18" customHeight="1">
      <c r="A12" s="96" t="n"/>
      <c r="B12" s="156" t="inlineStr">
        <is>
          <t>ANNUAL CASH FLOW</t>
        </is>
      </c>
      <c r="C12" s="54" t="n"/>
      <c r="D12" s="54" t="n"/>
      <c r="E12" s="97" t="n"/>
      <c r="F12" s="156" t="inlineStr">
        <is>
          <t>CASH-ON-CASH RETURN</t>
        </is>
      </c>
      <c r="G12" s="54" t="n"/>
      <c r="H12" s="54" t="n"/>
      <c r="I12" s="97" t="n"/>
      <c r="J12" s="157" t="inlineStr">
        <is>
          <t>INFINITE RETURN?</t>
        </is>
      </c>
      <c r="M12" s="96" t="n"/>
      <c r="N12" s="96" t="n"/>
      <c r="O12" s="96" t="n"/>
      <c r="P12" s="96" t="n"/>
      <c r="Q12" s="96" t="n"/>
      <c r="R12" s="96" t="n"/>
      <c r="S12" s="96" t="n"/>
      <c r="T12" s="96" t="n"/>
      <c r="U12" s="96" t="n"/>
      <c r="V12" s="96" t="n"/>
      <c r="W12" s="96" t="n"/>
      <c r="X12" s="96" t="n"/>
      <c r="Y12" s="96" t="n"/>
      <c r="Z12" s="96" t="n"/>
      <c r="AA12" s="96" t="n"/>
      <c r="AB12" s="96" t="n"/>
      <c r="AC12" s="96" t="n"/>
      <c r="AD12" s="96" t="n"/>
      <c r="AE12" s="96" t="n"/>
      <c r="AF12" s="96" t="n"/>
      <c r="AG12" s="96" t="n"/>
      <c r="AH12" s="96" t="n"/>
      <c r="AI12" s="96" t="n"/>
      <c r="AJ12" s="96" t="n"/>
      <c r="AK12" s="96" t="n"/>
      <c r="AL12" s="96" t="n"/>
      <c r="AM12" s="96" t="n"/>
      <c r="AN12" s="96" t="n"/>
    </row>
    <row r="13" ht="36" customHeight="1">
      <c r="A13" s="96" t="n"/>
      <c r="B13" s="159">
        <f>'Cash Flow Analysis'!C13</f>
        <v/>
      </c>
      <c r="E13" s="97" t="n"/>
      <c r="F13" s="161">
        <f>'Cash Flow Analysis'!C16</f>
        <v/>
      </c>
      <c r="I13" s="97" t="n"/>
      <c r="J13" s="162">
        <f>IF('Refinance Analysis'!C20&lt;=0,"YES ✅","No")</f>
        <v/>
      </c>
      <c r="M13" s="96" t="n"/>
      <c r="N13" s="96" t="n"/>
      <c r="O13" s="96" t="n"/>
      <c r="P13" s="96" t="n"/>
      <c r="Q13" s="96" t="n"/>
      <c r="R13" s="96" t="n"/>
      <c r="S13" s="96" t="n"/>
      <c r="T13" s="96" t="n"/>
      <c r="U13" s="96" t="n"/>
      <c r="V13" s="96" t="n"/>
      <c r="W13" s="96" t="n"/>
      <c r="X13" s="96" t="n"/>
      <c r="Y13" s="96" t="n"/>
      <c r="Z13" s="96" t="n"/>
      <c r="AA13" s="96" t="n"/>
      <c r="AB13" s="96" t="n"/>
      <c r="AC13" s="96" t="n"/>
      <c r="AD13" s="96" t="n"/>
      <c r="AE13" s="96" t="n"/>
      <c r="AF13" s="96" t="n"/>
      <c r="AG13" s="96" t="n"/>
      <c r="AH13" s="96" t="n"/>
      <c r="AI13" s="96" t="n"/>
      <c r="AJ13" s="96" t="n"/>
      <c r="AK13" s="96" t="n"/>
      <c r="AL13" s="96" t="n"/>
      <c r="AM13" s="96" t="n"/>
      <c r="AN13" s="96" t="n"/>
    </row>
    <row r="14" ht="6" customHeight="1">
      <c r="A14" s="96" t="n"/>
      <c r="B14" s="97" t="n"/>
      <c r="C14" s="97" t="n"/>
      <c r="D14" s="97" t="n"/>
      <c r="E14" s="97" t="n"/>
      <c r="F14" s="97" t="n"/>
      <c r="G14" s="97" t="n"/>
      <c r="H14" s="97" t="n"/>
      <c r="I14" s="97" t="n"/>
      <c r="J14" s="96" t="n"/>
      <c r="K14" s="96" t="n"/>
      <c r="L14" s="96" t="n"/>
      <c r="M14" s="96" t="n"/>
      <c r="N14" s="96" t="n"/>
      <c r="O14" s="96" t="n"/>
      <c r="P14" s="96" t="n"/>
      <c r="Q14" s="96" t="n"/>
      <c r="R14" s="96" t="n"/>
      <c r="S14" s="96" t="n"/>
      <c r="T14" s="96" t="n"/>
      <c r="U14" s="96" t="n"/>
      <c r="V14" s="96" t="n"/>
      <c r="W14" s="96" t="n"/>
      <c r="X14" s="96" t="n"/>
      <c r="Y14" s="96" t="n"/>
      <c r="Z14" s="96" t="n"/>
      <c r="AA14" s="96" t="n"/>
      <c r="AB14" s="96" t="n"/>
      <c r="AC14" s="96" t="n"/>
      <c r="AD14" s="96" t="n"/>
      <c r="AE14" s="96" t="n"/>
      <c r="AF14" s="96" t="n"/>
      <c r="AG14" s="96" t="n"/>
      <c r="AH14" s="96" t="n"/>
      <c r="AI14" s="96" t="n"/>
      <c r="AJ14" s="96" t="n"/>
      <c r="AK14" s="96" t="n"/>
      <c r="AL14" s="96" t="n"/>
      <c r="AM14" s="96" t="n"/>
      <c r="AN14" s="96" t="n"/>
    </row>
    <row r="15" ht="10" customHeight="1">
      <c r="A15" s="96" t="n"/>
      <c r="B15" s="97" t="n"/>
      <c r="C15" s="97" t="n"/>
      <c r="D15" s="97" t="n"/>
      <c r="E15" s="97" t="n"/>
      <c r="F15" s="97" t="n"/>
      <c r="G15" s="97" t="n"/>
      <c r="H15" s="97" t="n"/>
      <c r="I15" s="97" t="n"/>
      <c r="J15" s="96" t="n"/>
      <c r="K15" s="96" t="n"/>
      <c r="L15" s="96" t="n"/>
      <c r="M15" s="96" t="n"/>
      <c r="N15" s="96" t="n"/>
      <c r="O15" s="96" t="n"/>
      <c r="P15" s="96" t="n"/>
      <c r="Q15" s="96" t="n"/>
      <c r="R15" s="96" t="n"/>
      <c r="S15" s="96" t="n"/>
      <c r="T15" s="96" t="n"/>
      <c r="U15" s="96" t="n"/>
      <c r="V15" s="96" t="n"/>
      <c r="W15" s="96" t="n"/>
      <c r="X15" s="96" t="n"/>
      <c r="Y15" s="96" t="n"/>
      <c r="Z15" s="96" t="n"/>
      <c r="AA15" s="96" t="n"/>
      <c r="AB15" s="96" t="n"/>
      <c r="AC15" s="96" t="n"/>
      <c r="AD15" s="96" t="n"/>
      <c r="AE15" s="96" t="n"/>
      <c r="AF15" s="96" t="n"/>
      <c r="AG15" s="96" t="n"/>
      <c r="AH15" s="96" t="n"/>
      <c r="AI15" s="96" t="n"/>
      <c r="AJ15" s="96" t="n"/>
      <c r="AK15" s="96" t="n"/>
      <c r="AL15" s="96" t="n"/>
      <c r="AM15" s="96" t="n"/>
      <c r="AN15" s="96" t="n"/>
    </row>
    <row r="16" ht="28" customHeight="1">
      <c r="A16" s="106" t="inlineStr">
        <is>
          <t>Capital Flow Analysis</t>
        </is>
      </c>
      <c r="M16" s="96" t="n"/>
      <c r="N16" s="96" t="n"/>
      <c r="O16" s="96" t="n"/>
      <c r="P16" s="96" t="n"/>
      <c r="Q16" s="96" t="n"/>
      <c r="R16" s="96" t="n"/>
      <c r="S16" s="96" t="n"/>
      <c r="T16" s="96" t="n"/>
      <c r="U16" s="96" t="n"/>
      <c r="V16" s="96" t="n"/>
      <c r="W16" s="96" t="n"/>
      <c r="X16" s="96" t="n"/>
      <c r="Y16" s="96" t="n"/>
      <c r="Z16" s="96" t="n"/>
      <c r="AA16" s="96" t="n"/>
      <c r="AB16" s="96" t="n"/>
      <c r="AC16" s="96" t="n"/>
      <c r="AD16" s="96" t="n"/>
      <c r="AE16" s="96" t="n"/>
      <c r="AF16" s="96" t="n"/>
      <c r="AG16" s="96" t="n"/>
      <c r="AH16" s="96" t="n"/>
      <c r="AI16" s="96" t="n"/>
      <c r="AJ16" s="96" t="n"/>
      <c r="AK16" s="96" t="n"/>
      <c r="AL16" s="96" t="n"/>
      <c r="AM16" s="96" t="n"/>
      <c r="AN16" s="96" t="n"/>
    </row>
    <row r="17">
      <c r="A17" s="96" t="n"/>
      <c r="B17" s="97" t="n"/>
      <c r="C17" s="97" t="n"/>
      <c r="D17" s="97" t="n"/>
      <c r="E17" s="97" t="n"/>
      <c r="F17" s="97" t="n"/>
      <c r="G17" s="97" t="n"/>
      <c r="H17" s="97" t="n"/>
      <c r="I17" s="96" t="n"/>
      <c r="J17" s="96" t="n"/>
      <c r="K17" s="96" t="n"/>
      <c r="L17" s="96" t="n"/>
      <c r="M17" s="96" t="n"/>
      <c r="N17" s="96" t="n"/>
      <c r="O17" s="96" t="n"/>
      <c r="P17" s="96" t="n"/>
      <c r="Q17" s="96" t="n"/>
      <c r="R17" s="96" t="n"/>
      <c r="S17" s="96" t="n"/>
      <c r="T17" s="96" t="n"/>
      <c r="U17" s="96" t="n"/>
      <c r="V17" s="96" t="n"/>
      <c r="W17" s="96" t="n"/>
      <c r="X17" s="96" t="n"/>
      <c r="Y17" s="96" t="n"/>
      <c r="Z17" s="96" t="n"/>
      <c r="AA17" s="96" t="n"/>
      <c r="AB17" s="96" t="n"/>
      <c r="AC17" s="96" t="n"/>
      <c r="AD17" s="96" t="n"/>
      <c r="AE17" s="96" t="n"/>
      <c r="AF17" s="96" t="n"/>
      <c r="AG17" s="96" t="n"/>
      <c r="AH17" s="96" t="n"/>
      <c r="AI17" s="96" t="n"/>
      <c r="AJ17" s="96" t="n"/>
      <c r="AK17" s="96" t="n"/>
      <c r="AL17" s="96" t="n"/>
      <c r="AM17" s="96" t="n"/>
      <c r="AN17" s="96" t="n"/>
    </row>
    <row r="18">
      <c r="A18" s="96" t="n"/>
      <c r="B18" s="97" t="n"/>
      <c r="C18" s="97" t="n"/>
      <c r="D18" s="97" t="n"/>
      <c r="E18" s="97" t="n"/>
      <c r="F18" s="97" t="n"/>
      <c r="G18" s="97" t="n"/>
      <c r="H18" s="97" t="n"/>
      <c r="I18" s="96" t="n"/>
      <c r="J18" s="96" t="n"/>
      <c r="K18" s="96" t="n"/>
      <c r="L18" s="96" t="n"/>
      <c r="M18" s="96" t="n"/>
      <c r="N18" s="96" t="n"/>
      <c r="O18" s="96" t="n"/>
      <c r="P18" s="96" t="n"/>
      <c r="Q18" s="96" t="n"/>
      <c r="R18" s="96" t="n"/>
      <c r="S18" s="96" t="n"/>
      <c r="T18" s="96" t="n"/>
      <c r="U18" s="96" t="n"/>
      <c r="V18" s="96" t="n"/>
      <c r="W18" s="96" t="n"/>
      <c r="X18" s="96" t="n"/>
      <c r="Y18" s="96" t="n"/>
      <c r="Z18" s="96" t="n"/>
      <c r="AA18" s="96" t="n"/>
      <c r="AB18" s="96" t="n"/>
      <c r="AC18" s="96" t="n"/>
      <c r="AD18" s="96" t="n"/>
      <c r="AE18" s="96" t="n"/>
      <c r="AF18" s="96" t="n"/>
      <c r="AG18" s="96" t="n"/>
      <c r="AH18" s="96" t="n"/>
      <c r="AI18" s="96" t="n"/>
      <c r="AJ18" s="96" t="n"/>
      <c r="AK18" s="96" t="n"/>
      <c r="AL18" s="96" t="n"/>
      <c r="AM18" s="96" t="n"/>
      <c r="AN18" s="96" t="n"/>
    </row>
    <row r="19">
      <c r="A19" s="96" t="n"/>
      <c r="B19" s="96" t="n"/>
      <c r="C19" s="96" t="n"/>
      <c r="D19" s="96" t="n"/>
      <c r="E19" s="96" t="n"/>
      <c r="F19" s="96" t="n"/>
      <c r="G19" s="96" t="n"/>
      <c r="H19" s="96" t="n"/>
      <c r="I19" s="96" t="n"/>
      <c r="J19" s="96" t="n"/>
      <c r="K19" s="96" t="n"/>
      <c r="L19" s="96" t="n"/>
      <c r="M19" s="96" t="n"/>
      <c r="N19" s="96" t="n"/>
      <c r="O19" s="96" t="n"/>
      <c r="P19" s="96" t="n"/>
      <c r="Q19" s="96" t="n"/>
      <c r="R19" s="96" t="n"/>
      <c r="S19" s="96" t="n"/>
      <c r="T19" s="96" t="n"/>
      <c r="U19" s="96" t="n"/>
      <c r="V19" s="96" t="n"/>
      <c r="W19" s="96" t="n"/>
      <c r="X19" s="96" t="n"/>
      <c r="Y19" s="96" t="n"/>
      <c r="Z19" s="96" t="n"/>
      <c r="AA19" s="96" t="n"/>
      <c r="AB19" s="96" t="n"/>
      <c r="AC19" s="96" t="n"/>
      <c r="AD19" s="96" t="n"/>
      <c r="AE19" s="96" t="n"/>
      <c r="AF19" s="96" t="n"/>
      <c r="AG19" s="96" t="n"/>
      <c r="AH19" s="96" t="n"/>
      <c r="AI19" s="96" t="n"/>
      <c r="AJ19" s="96" t="n"/>
      <c r="AK19" s="96" t="n"/>
      <c r="AL19" s="96" t="n"/>
      <c r="AM19" s="96" t="n"/>
      <c r="AN19" s="96" t="n"/>
    </row>
    <row r="20">
      <c r="A20" s="96" t="n"/>
      <c r="B20" s="96" t="n"/>
      <c r="C20" s="96" t="n"/>
      <c r="D20" s="96" t="n"/>
      <c r="E20" s="96" t="n"/>
      <c r="F20" s="96" t="n"/>
      <c r="G20" s="96" t="n"/>
      <c r="H20" s="96" t="n"/>
      <c r="I20" s="96" t="n"/>
      <c r="J20" s="96" t="n"/>
      <c r="K20" s="96" t="n"/>
      <c r="L20" s="96" t="n"/>
      <c r="M20" s="96" t="n"/>
      <c r="N20" s="96" t="n"/>
      <c r="O20" s="96" t="n"/>
      <c r="P20" s="96" t="n"/>
      <c r="Q20" s="96" t="n"/>
      <c r="R20" s="96" t="n"/>
      <c r="S20" s="96" t="n"/>
      <c r="T20" s="96" t="n"/>
      <c r="U20" s="96" t="n"/>
      <c r="V20" s="96" t="n"/>
      <c r="W20" s="96" t="n"/>
      <c r="X20" s="96" t="n"/>
      <c r="Y20" s="96" t="n"/>
      <c r="Z20" s="96" t="n"/>
      <c r="AA20" s="96" t="n"/>
      <c r="AB20" s="96" t="n"/>
      <c r="AC20" s="96" t="n"/>
      <c r="AD20" s="96" t="n"/>
      <c r="AE20" s="96" t="n"/>
      <c r="AF20" s="96" t="n"/>
      <c r="AG20" s="96" t="n"/>
      <c r="AH20" s="96" t="n"/>
      <c r="AI20" s="96" t="n"/>
      <c r="AJ20" s="96" t="n"/>
      <c r="AK20" s="96" t="n"/>
      <c r="AL20" s="96" t="n"/>
      <c r="AM20" s="96" t="n"/>
      <c r="AN20" s="96" t="n"/>
    </row>
    <row r="21">
      <c r="A21" s="96" t="n"/>
      <c r="B21" s="96" t="n"/>
      <c r="C21" s="96" t="n"/>
      <c r="D21" s="96" t="n"/>
      <c r="E21" s="96" t="n"/>
      <c r="F21" s="96" t="n"/>
      <c r="G21" s="96" t="n"/>
      <c r="H21" s="96" t="n"/>
      <c r="I21" s="96" t="n"/>
      <c r="J21" s="96" t="n"/>
      <c r="K21" s="96" t="n"/>
      <c r="L21" s="96" t="n"/>
      <c r="M21" s="96" t="n"/>
      <c r="N21" s="96" t="n"/>
      <c r="O21" s="96" t="n"/>
      <c r="P21" s="96" t="n"/>
      <c r="Q21" s="96" t="n"/>
      <c r="R21" s="96" t="n"/>
      <c r="S21" s="96" t="n"/>
      <c r="T21" s="96" t="n"/>
      <c r="U21" s="96" t="n"/>
      <c r="V21" s="96" t="n"/>
      <c r="W21" s="96" t="n"/>
      <c r="X21" s="96" t="n"/>
      <c r="Y21" s="96" t="n"/>
      <c r="Z21" s="96" t="n"/>
      <c r="AA21" s="96" t="n"/>
      <c r="AB21" s="96" t="n"/>
      <c r="AC21" s="96" t="n"/>
      <c r="AD21" s="96" t="n"/>
      <c r="AE21" s="96" t="n"/>
      <c r="AF21" s="96" t="n"/>
      <c r="AG21" s="96" t="n"/>
      <c r="AH21" s="96" t="n"/>
      <c r="AI21" s="96" t="n"/>
      <c r="AJ21" s="96" t="n"/>
      <c r="AK21" s="96" t="n"/>
      <c r="AL21" s="96" t="n"/>
      <c r="AM21" s="96" t="n"/>
      <c r="AN21" s="96" t="n"/>
    </row>
    <row r="22">
      <c r="A22" s="96" t="n"/>
      <c r="B22" s="96" t="n"/>
      <c r="C22" s="96" t="n"/>
      <c r="D22" s="96" t="n"/>
      <c r="E22" s="96" t="n"/>
      <c r="F22" s="96" t="n"/>
      <c r="G22" s="96" t="n"/>
      <c r="H22" s="96" t="n"/>
      <c r="I22" s="96" t="n"/>
      <c r="J22" s="96" t="n"/>
      <c r="K22" s="96" t="n"/>
      <c r="L22" s="96" t="n"/>
      <c r="M22" s="96" t="n"/>
      <c r="N22" s="96" t="n"/>
      <c r="O22" s="96" t="n"/>
      <c r="P22" s="96" t="n"/>
      <c r="Q22" s="96" t="n"/>
      <c r="R22" s="96" t="n"/>
      <c r="S22" s="96" t="n"/>
      <c r="T22" s="96" t="n"/>
      <c r="U22" s="96" t="n"/>
      <c r="V22" s="96" t="n"/>
      <c r="W22" s="96" t="n"/>
      <c r="X22" s="96" t="n"/>
      <c r="Y22" s="96" t="n"/>
      <c r="Z22" s="96" t="n"/>
      <c r="AA22" s="96" t="n"/>
      <c r="AB22" s="96" t="n"/>
      <c r="AC22" s="96" t="n"/>
      <c r="AD22" s="96" t="n"/>
      <c r="AE22" s="96" t="n"/>
      <c r="AF22" s="96" t="n"/>
      <c r="AG22" s="96" t="n"/>
      <c r="AH22" s="96" t="n"/>
      <c r="AI22" s="96" t="n"/>
      <c r="AJ22" s="96" t="n"/>
      <c r="AK22" s="96" t="n"/>
      <c r="AL22" s="96" t="n"/>
      <c r="AM22" s="96" t="n"/>
      <c r="AN22" s="96" t="n"/>
    </row>
    <row r="23">
      <c r="A23" s="96" t="n"/>
      <c r="B23" s="96" t="n"/>
      <c r="C23" s="96" t="n"/>
      <c r="D23" s="96" t="n"/>
      <c r="E23" s="96" t="n"/>
      <c r="F23" s="96" t="n"/>
      <c r="G23" s="96" t="n"/>
      <c r="H23" s="96" t="n"/>
      <c r="I23" s="96" t="n"/>
      <c r="J23" s="96" t="n"/>
      <c r="K23" s="96" t="n"/>
      <c r="L23" s="96" t="n"/>
      <c r="M23" s="96" t="n"/>
      <c r="N23" s="96" t="n"/>
      <c r="O23" s="96" t="n"/>
      <c r="P23" s="96" t="n"/>
      <c r="Q23" s="96" t="n"/>
      <c r="R23" s="96" t="n"/>
      <c r="S23" s="96" t="n"/>
      <c r="T23" s="96" t="n"/>
      <c r="U23" s="96" t="n"/>
      <c r="V23" s="96" t="n"/>
      <c r="W23" s="96" t="n"/>
      <c r="X23" s="96" t="n"/>
      <c r="Y23" s="96" t="n"/>
      <c r="Z23" s="96" t="n"/>
      <c r="AA23" s="96" t="n"/>
      <c r="AB23" s="96" t="n"/>
      <c r="AC23" s="96" t="n"/>
      <c r="AD23" s="96" t="n"/>
      <c r="AE23" s="96" t="n"/>
      <c r="AF23" s="96" t="n"/>
      <c r="AG23" s="96" t="n"/>
      <c r="AH23" s="96" t="n"/>
      <c r="AI23" s="96" t="n"/>
      <c r="AJ23" s="96" t="n"/>
      <c r="AK23" s="96" t="n"/>
      <c r="AL23" s="96" t="n"/>
      <c r="AM23" s="96" t="n"/>
      <c r="AN23" s="96" t="n"/>
    </row>
    <row r="24">
      <c r="A24" s="96" t="n"/>
      <c r="B24" s="96" t="n"/>
      <c r="C24" s="96" t="n"/>
      <c r="D24" s="96" t="n"/>
      <c r="E24" s="96" t="n"/>
      <c r="F24" s="96" t="n"/>
      <c r="G24" s="96" t="n"/>
      <c r="H24" s="96" t="n"/>
      <c r="I24" s="96" t="n"/>
      <c r="J24" s="96" t="n"/>
      <c r="K24" s="96" t="n"/>
      <c r="L24" s="96" t="n"/>
      <c r="M24" s="96" t="n"/>
      <c r="N24" s="96" t="n"/>
      <c r="O24" s="96" t="n"/>
      <c r="P24" s="96" t="n"/>
      <c r="Q24" s="96" t="n"/>
      <c r="R24" s="96" t="n"/>
      <c r="S24" s="96" t="n"/>
      <c r="T24" s="96" t="n"/>
      <c r="U24" s="96" t="n"/>
      <c r="V24" s="96" t="n"/>
      <c r="W24" s="96" t="n"/>
      <c r="X24" s="96" t="n"/>
      <c r="Y24" s="96" t="n"/>
      <c r="Z24" s="96" t="n"/>
      <c r="AA24" s="96" t="n"/>
      <c r="AB24" s="96" t="n"/>
      <c r="AC24" s="96" t="n"/>
      <c r="AD24" s="96" t="n"/>
      <c r="AE24" s="96" t="n"/>
      <c r="AF24" s="96" t="n"/>
      <c r="AG24" s="96" t="n"/>
      <c r="AH24" s="96" t="n"/>
      <c r="AI24" s="96" t="n"/>
      <c r="AJ24" s="96" t="n"/>
      <c r="AK24" s="96" t="n"/>
      <c r="AL24" s="96" t="n"/>
      <c r="AM24" s="96" t="n"/>
      <c r="AN24" s="96" t="n"/>
    </row>
    <row r="25">
      <c r="A25" s="96" t="n"/>
      <c r="B25" s="96" t="n"/>
      <c r="C25" s="96" t="n"/>
      <c r="D25" s="96" t="n"/>
      <c r="E25" s="96" t="n"/>
      <c r="F25" s="96" t="n"/>
      <c r="G25" s="96" t="n"/>
      <c r="H25" s="96" t="n"/>
      <c r="I25" s="96" t="n"/>
      <c r="J25" s="96" t="n"/>
      <c r="K25" s="96" t="n"/>
      <c r="L25" s="96" t="n"/>
      <c r="M25" s="96" t="n"/>
      <c r="N25" s="96" t="n"/>
      <c r="O25" s="96" t="n"/>
      <c r="P25" s="96" t="n"/>
      <c r="Q25" s="96" t="n"/>
      <c r="R25" s="96" t="n"/>
      <c r="S25" s="96" t="n"/>
      <c r="T25" s="96" t="n"/>
      <c r="U25" s="96" t="n"/>
      <c r="V25" s="96" t="n"/>
      <c r="W25" s="96" t="n"/>
      <c r="X25" s="96" t="n"/>
      <c r="Y25" s="96" t="n"/>
      <c r="Z25" s="96" t="n"/>
      <c r="AA25" s="96" t="n"/>
      <c r="AB25" s="96" t="n"/>
      <c r="AC25" s="96" t="n"/>
      <c r="AD25" s="96" t="n"/>
      <c r="AE25" s="96" t="n"/>
      <c r="AF25" s="96" t="n"/>
      <c r="AG25" s="96" t="n"/>
      <c r="AH25" s="96" t="n"/>
      <c r="AI25" s="96" t="n"/>
      <c r="AJ25" s="96" t="n"/>
      <c r="AK25" s="96" t="n"/>
      <c r="AL25" s="96" t="n"/>
      <c r="AM25" s="96" t="n"/>
      <c r="AN25" s="96" t="n"/>
    </row>
    <row r="26">
      <c r="A26" s="96" t="n"/>
      <c r="B26" s="96" t="n"/>
      <c r="C26" s="96" t="n"/>
      <c r="D26" s="96" t="n"/>
      <c r="E26" s="96" t="n"/>
      <c r="F26" s="96" t="n"/>
      <c r="G26" s="96" t="n"/>
      <c r="H26" s="96" t="n"/>
      <c r="I26" s="96" t="n"/>
      <c r="J26" s="96" t="n"/>
      <c r="K26" s="96" t="n"/>
      <c r="L26" s="96" t="n"/>
      <c r="M26" s="96" t="n"/>
      <c r="N26" s="96" t="n"/>
      <c r="O26" s="96" t="n"/>
      <c r="P26" s="96" t="n"/>
      <c r="Q26" s="96" t="n"/>
      <c r="R26" s="96" t="n"/>
      <c r="S26" s="96" t="n"/>
      <c r="T26" s="96" t="n"/>
      <c r="U26" s="96" t="n"/>
      <c r="V26" s="96" t="n"/>
      <c r="W26" s="96" t="n"/>
      <c r="X26" s="96" t="n"/>
      <c r="Y26" s="96" t="n"/>
      <c r="Z26" s="96" t="n"/>
      <c r="AA26" s="96" t="n"/>
      <c r="AB26" s="96" t="n"/>
      <c r="AC26" s="96" t="n"/>
      <c r="AD26" s="96" t="n"/>
      <c r="AE26" s="96" t="n"/>
      <c r="AF26" s="96" t="n"/>
      <c r="AG26" s="96" t="n"/>
      <c r="AH26" s="96" t="n"/>
      <c r="AI26" s="96" t="n"/>
      <c r="AJ26" s="96" t="n"/>
      <c r="AK26" s="96" t="n"/>
      <c r="AL26" s="96" t="n"/>
      <c r="AM26" s="96" t="n"/>
      <c r="AN26" s="96" t="n"/>
    </row>
    <row r="27">
      <c r="A27" s="96" t="n"/>
      <c r="B27" s="96" t="n"/>
      <c r="C27" s="96" t="n"/>
      <c r="D27" s="96" t="n"/>
      <c r="E27" s="96" t="n"/>
      <c r="F27" s="96" t="n"/>
      <c r="G27" s="96" t="n"/>
      <c r="H27" s="96" t="n"/>
      <c r="I27" s="96" t="n"/>
      <c r="J27" s="96" t="n"/>
      <c r="K27" s="96" t="n"/>
      <c r="L27" s="96" t="n"/>
      <c r="M27" s="96" t="n"/>
      <c r="N27" s="96" t="n"/>
      <c r="O27" s="96" t="n"/>
      <c r="P27" s="96" t="n"/>
      <c r="Q27" s="96" t="n"/>
      <c r="R27" s="96" t="n"/>
      <c r="S27" s="96" t="n"/>
      <c r="T27" s="96" t="n"/>
      <c r="U27" s="96" t="n"/>
      <c r="V27" s="96" t="n"/>
      <c r="W27" s="96" t="n"/>
      <c r="X27" s="96" t="n"/>
      <c r="Y27" s="96" t="n"/>
      <c r="Z27" s="96" t="n"/>
      <c r="AA27" s="96" t="n"/>
      <c r="AB27" s="96" t="n"/>
      <c r="AC27" s="96" t="n"/>
      <c r="AD27" s="96" t="n"/>
      <c r="AE27" s="96" t="n"/>
      <c r="AF27" s="96" t="n"/>
      <c r="AG27" s="96" t="n"/>
      <c r="AH27" s="96" t="n"/>
      <c r="AI27" s="96" t="n"/>
      <c r="AJ27" s="96" t="n"/>
      <c r="AK27" s="96" t="n"/>
      <c r="AL27" s="96" t="n"/>
      <c r="AM27" s="96" t="n"/>
      <c r="AN27" s="96" t="n"/>
    </row>
    <row r="28">
      <c r="A28" s="96" t="n"/>
      <c r="B28" s="96" t="n"/>
      <c r="C28" s="96" t="n"/>
      <c r="D28" s="96" t="n"/>
      <c r="E28" s="96" t="n"/>
      <c r="F28" s="96" t="n"/>
      <c r="G28" s="96" t="n"/>
      <c r="H28" s="96" t="n"/>
      <c r="I28" s="96" t="n"/>
      <c r="J28" s="96" t="n"/>
      <c r="K28" s="96" t="n"/>
      <c r="L28" s="96" t="n"/>
      <c r="M28" s="96" t="n"/>
      <c r="N28" s="96" t="n"/>
      <c r="O28" s="96" t="n"/>
      <c r="P28" s="96" t="n"/>
      <c r="Q28" s="96" t="n"/>
      <c r="R28" s="96" t="n"/>
      <c r="S28" s="96" t="n"/>
      <c r="T28" s="96" t="n"/>
      <c r="U28" s="96" t="n"/>
      <c r="V28" s="96" t="n"/>
      <c r="W28" s="96" t="n"/>
      <c r="X28" s="96" t="n"/>
      <c r="Y28" s="96" t="n"/>
      <c r="Z28" s="96" t="n"/>
      <c r="AA28" s="96" t="n"/>
      <c r="AB28" s="96" t="n"/>
      <c r="AC28" s="96" t="n"/>
      <c r="AD28" s="96" t="n"/>
      <c r="AE28" s="96" t="n"/>
      <c r="AF28" s="96" t="n"/>
      <c r="AG28" s="96" t="n"/>
      <c r="AH28" s="96" t="n"/>
      <c r="AI28" s="96" t="n"/>
      <c r="AJ28" s="96" t="n"/>
      <c r="AK28" s="96" t="n"/>
      <c r="AL28" s="96" t="n"/>
      <c r="AM28" s="96" t="n"/>
      <c r="AN28" s="96" t="n"/>
    </row>
    <row r="29">
      <c r="A29" s="96" t="n"/>
      <c r="B29" s="96" t="n"/>
      <c r="C29" s="96" t="n"/>
      <c r="D29" s="96" t="n"/>
      <c r="E29" s="96" t="n"/>
      <c r="F29" s="96" t="n"/>
      <c r="G29" s="96" t="n"/>
      <c r="H29" s="96" t="n"/>
      <c r="I29" s="96" t="n"/>
      <c r="J29" s="96" t="n"/>
      <c r="K29" s="96" t="n"/>
      <c r="L29" s="96" t="n"/>
      <c r="M29" s="96" t="n"/>
      <c r="N29" s="96" t="n"/>
      <c r="O29" s="96" t="n"/>
      <c r="P29" s="96" t="n"/>
      <c r="Q29" s="96" t="n"/>
      <c r="R29" s="96" t="n"/>
      <c r="S29" s="96" t="n"/>
      <c r="T29" s="96" t="n"/>
      <c r="U29" s="96" t="n"/>
      <c r="V29" s="96" t="n"/>
      <c r="W29" s="96" t="n"/>
      <c r="X29" s="96" t="n"/>
      <c r="Y29" s="96" t="n"/>
      <c r="Z29" s="96" t="n"/>
      <c r="AA29" s="96" t="n"/>
      <c r="AB29" s="96" t="n"/>
      <c r="AC29" s="96" t="n"/>
      <c r="AD29" s="96" t="n"/>
      <c r="AE29" s="96" t="n"/>
      <c r="AF29" s="96" t="n"/>
      <c r="AG29" s="96" t="n"/>
      <c r="AH29" s="96" t="n"/>
      <c r="AI29" s="96" t="n"/>
      <c r="AJ29" s="96" t="n"/>
      <c r="AK29" s="96" t="n"/>
      <c r="AL29" s="96" t="n"/>
      <c r="AM29" s="96" t="n"/>
      <c r="AN29" s="96" t="n"/>
    </row>
    <row r="30">
      <c r="A30" s="96" t="n"/>
      <c r="B30" s="96" t="n"/>
      <c r="C30" s="96" t="n"/>
      <c r="D30" s="96" t="n"/>
      <c r="E30" s="96" t="n"/>
      <c r="F30" s="96" t="n"/>
      <c r="G30" s="96" t="n"/>
      <c r="H30" s="96" t="n"/>
      <c r="I30" s="96" t="n"/>
      <c r="J30" s="96" t="n"/>
      <c r="K30" s="96" t="n"/>
      <c r="L30" s="96" t="n"/>
      <c r="M30" s="96" t="n"/>
      <c r="N30" s="96" t="n"/>
      <c r="O30" s="96" t="n"/>
      <c r="P30" s="96" t="n"/>
      <c r="Q30" s="96" t="n"/>
      <c r="R30" s="96" t="n"/>
      <c r="S30" s="96" t="n"/>
      <c r="T30" s="96" t="n"/>
      <c r="U30" s="96" t="n"/>
      <c r="V30" s="96" t="n"/>
      <c r="W30" s="96" t="n"/>
      <c r="X30" s="96" t="n"/>
      <c r="Y30" s="96" t="n"/>
      <c r="Z30" s="96" t="n"/>
      <c r="AA30" s="96" t="n"/>
      <c r="AB30" s="96" t="n"/>
      <c r="AC30" s="96" t="n"/>
      <c r="AD30" s="96" t="n"/>
      <c r="AE30" s="96" t="n"/>
      <c r="AF30" s="96" t="n"/>
      <c r="AG30" s="96" t="n"/>
      <c r="AH30" s="96" t="n"/>
      <c r="AI30" s="96" t="n"/>
      <c r="AJ30" s="96" t="n"/>
      <c r="AK30" s="96" t="n"/>
      <c r="AL30" s="96" t="n"/>
      <c r="AM30" s="96" t="n"/>
      <c r="AN30" s="96" t="n"/>
    </row>
    <row r="31">
      <c r="A31" s="96" t="n"/>
      <c r="B31" s="96" t="n"/>
      <c r="C31" s="96" t="n"/>
      <c r="D31" s="96" t="n"/>
      <c r="E31" s="96" t="n"/>
      <c r="F31" s="96" t="n"/>
      <c r="G31" s="96" t="n"/>
      <c r="H31" s="96" t="n"/>
      <c r="I31" s="96" t="n"/>
      <c r="J31" s="96" t="n"/>
      <c r="K31" s="96" t="n"/>
      <c r="L31" s="96" t="n"/>
      <c r="M31" s="96" t="n"/>
      <c r="N31" s="96" t="n"/>
      <c r="O31" s="96" t="n"/>
      <c r="P31" s="96" t="n"/>
      <c r="Q31" s="96" t="n"/>
      <c r="R31" s="96" t="n"/>
      <c r="S31" s="96" t="n"/>
      <c r="T31" s="96" t="n"/>
      <c r="U31" s="96" t="n"/>
      <c r="V31" s="96" t="n"/>
      <c r="W31" s="96" t="n"/>
      <c r="X31" s="96" t="n"/>
      <c r="Y31" s="96" t="n"/>
      <c r="Z31" s="96" t="n"/>
      <c r="AA31" s="96" t="n"/>
      <c r="AB31" s="96" t="n"/>
      <c r="AC31" s="96" t="n"/>
      <c r="AD31" s="96" t="n"/>
      <c r="AE31" s="96" t="n"/>
      <c r="AF31" s="96" t="n"/>
      <c r="AG31" s="96" t="n"/>
      <c r="AH31" s="96" t="n"/>
      <c r="AI31" s="96" t="n"/>
      <c r="AJ31" s="96" t="n"/>
      <c r="AK31" s="96" t="n"/>
      <c r="AL31" s="96" t="n"/>
      <c r="AM31" s="96" t="n"/>
      <c r="AN31" s="96" t="n"/>
    </row>
    <row r="32">
      <c r="A32" s="96" t="n"/>
      <c r="B32" s="96" t="n"/>
      <c r="C32" s="96" t="n"/>
      <c r="D32" s="96" t="n"/>
      <c r="E32" s="96" t="n"/>
      <c r="F32" s="96" t="n"/>
      <c r="G32" s="96" t="n"/>
      <c r="H32" s="96" t="n"/>
      <c r="I32" s="96" t="n"/>
      <c r="J32" s="96" t="n"/>
      <c r="K32" s="96" t="n"/>
      <c r="L32" s="96" t="n"/>
      <c r="M32" s="96" t="n"/>
      <c r="N32" s="96" t="n"/>
      <c r="O32" s="96" t="n"/>
      <c r="P32" s="96" t="n"/>
      <c r="Q32" s="96" t="n"/>
      <c r="R32" s="96" t="n"/>
      <c r="S32" s="96" t="n"/>
      <c r="T32" s="96" t="n"/>
      <c r="U32" s="96" t="n"/>
      <c r="V32" s="96" t="n"/>
      <c r="W32" s="96" t="n"/>
      <c r="X32" s="96" t="n"/>
      <c r="Y32" s="96" t="n"/>
      <c r="Z32" s="96" t="n"/>
      <c r="AA32" s="96" t="n"/>
      <c r="AB32" s="96" t="n"/>
      <c r="AC32" s="96" t="n"/>
      <c r="AD32" s="96" t="n"/>
      <c r="AE32" s="96" t="n"/>
      <c r="AF32" s="96" t="n"/>
      <c r="AG32" s="96" t="n"/>
      <c r="AH32" s="96" t="n"/>
      <c r="AI32" s="96" t="n"/>
      <c r="AJ32" s="96" t="n"/>
      <c r="AK32" s="96" t="n"/>
      <c r="AL32" s="96" t="n"/>
      <c r="AM32" s="96" t="n"/>
      <c r="AN32" s="96" t="n"/>
    </row>
    <row r="33">
      <c r="A33" s="96" t="n"/>
      <c r="B33" s="96" t="n"/>
      <c r="C33" s="96" t="n"/>
      <c r="D33" s="96" t="n"/>
      <c r="E33" s="96" t="n"/>
      <c r="F33" s="96" t="n"/>
      <c r="G33" s="96" t="n"/>
      <c r="H33" s="96" t="n"/>
      <c r="I33" s="96" t="n"/>
      <c r="J33" s="96" t="n"/>
      <c r="K33" s="96" t="n"/>
      <c r="L33" s="96" t="n"/>
      <c r="M33" s="96" t="n"/>
      <c r="N33" s="96" t="n"/>
      <c r="O33" s="96" t="n"/>
      <c r="P33" s="96" t="n"/>
      <c r="Q33" s="96" t="n"/>
      <c r="R33" s="96" t="n"/>
      <c r="S33" s="96" t="n"/>
      <c r="T33" s="96" t="n"/>
      <c r="U33" s="96" t="n"/>
      <c r="V33" s="96" t="n"/>
      <c r="W33" s="96" t="n"/>
      <c r="X33" s="96" t="n"/>
      <c r="Y33" s="96" t="n"/>
      <c r="Z33" s="96" t="n"/>
      <c r="AA33" s="96" t="n"/>
      <c r="AB33" s="96" t="n"/>
      <c r="AC33" s="96" t="n"/>
      <c r="AD33" s="96" t="n"/>
      <c r="AE33" s="96" t="n"/>
      <c r="AF33" s="96" t="n"/>
      <c r="AG33" s="96" t="n"/>
      <c r="AH33" s="96" t="n"/>
      <c r="AI33" s="96" t="n"/>
      <c r="AJ33" s="96" t="n"/>
      <c r="AK33" s="96" t="n"/>
      <c r="AL33" s="96" t="n"/>
      <c r="AM33" s="96" t="n"/>
      <c r="AN33" s="96" t="n"/>
    </row>
    <row r="34">
      <c r="A34" s="96" t="n"/>
      <c r="B34" s="96" t="n"/>
      <c r="C34" s="96" t="n"/>
      <c r="D34" s="96" t="n"/>
      <c r="E34" s="96" t="n"/>
      <c r="F34" s="96" t="n"/>
      <c r="G34" s="96" t="n"/>
      <c r="H34" s="96" t="n"/>
      <c r="I34" s="96" t="n"/>
      <c r="J34" s="96" t="n"/>
      <c r="K34" s="96" t="n"/>
      <c r="L34" s="96" t="n"/>
      <c r="M34" s="96" t="n"/>
      <c r="N34" s="96" t="n"/>
      <c r="O34" s="96" t="n"/>
      <c r="P34" s="96" t="n"/>
      <c r="Q34" s="96" t="n"/>
      <c r="R34" s="96" t="n"/>
      <c r="S34" s="96" t="n"/>
      <c r="T34" s="96" t="n"/>
      <c r="U34" s="96" t="n"/>
      <c r="V34" s="96" t="n"/>
      <c r="W34" s="96" t="n"/>
      <c r="X34" s="96" t="n"/>
      <c r="Y34" s="96" t="n"/>
      <c r="Z34" s="96" t="n"/>
      <c r="AA34" s="96" t="n"/>
      <c r="AB34" s="96" t="n"/>
      <c r="AC34" s="96" t="n"/>
      <c r="AD34" s="96" t="n"/>
      <c r="AE34" s="96" t="n"/>
      <c r="AF34" s="96" t="n"/>
      <c r="AG34" s="96" t="n"/>
      <c r="AH34" s="96" t="n"/>
      <c r="AI34" s="96" t="n"/>
      <c r="AJ34" s="96" t="n"/>
      <c r="AK34" s="96" t="n"/>
      <c r="AL34" s="96" t="n"/>
      <c r="AM34" s="96" t="n"/>
      <c r="AN34" s="96" t="n"/>
    </row>
    <row r="35">
      <c r="A35" s="96" t="n"/>
      <c r="B35" s="96" t="n"/>
      <c r="C35" s="96" t="n"/>
      <c r="D35" s="96" t="n"/>
      <c r="E35" s="96" t="n"/>
      <c r="F35" s="96" t="n"/>
      <c r="G35" s="96" t="n"/>
      <c r="H35" s="96" t="n"/>
      <c r="I35" s="96" t="n"/>
      <c r="J35" s="96" t="n"/>
      <c r="K35" s="96" t="n"/>
      <c r="L35" s="96" t="n"/>
      <c r="M35" s="96" t="n"/>
      <c r="N35" s="96" t="n"/>
      <c r="O35" s="96" t="n"/>
      <c r="P35" s="96" t="n"/>
      <c r="Q35" s="96" t="n"/>
      <c r="R35" s="96" t="n"/>
      <c r="S35" s="96" t="n"/>
      <c r="T35" s="96" t="n"/>
      <c r="U35" s="96" t="n"/>
      <c r="V35" s="96" t="n"/>
      <c r="W35" s="96" t="n"/>
      <c r="X35" s="96" t="n"/>
      <c r="Y35" s="96" t="n"/>
      <c r="Z35" s="96" t="n"/>
      <c r="AA35" s="96" t="n"/>
      <c r="AB35" s="96" t="n"/>
      <c r="AC35" s="96" t="n"/>
      <c r="AD35" s="96" t="n"/>
      <c r="AE35" s="96" t="n"/>
      <c r="AF35" s="96" t="n"/>
      <c r="AG35" s="96" t="n"/>
      <c r="AH35" s="96" t="n"/>
      <c r="AI35" s="96" t="n"/>
      <c r="AJ35" s="96" t="n"/>
      <c r="AK35" s="96" t="n"/>
      <c r="AL35" s="96" t="n"/>
      <c r="AM35" s="96" t="n"/>
      <c r="AN35" s="96" t="n"/>
    </row>
    <row r="36">
      <c r="A36" s="96" t="n"/>
      <c r="B36" s="96" t="n"/>
      <c r="C36" s="96" t="n"/>
      <c r="D36" s="96" t="n"/>
      <c r="E36" s="96" t="n"/>
      <c r="F36" s="96" t="n"/>
      <c r="G36" s="96" t="n"/>
      <c r="H36" s="96" t="n"/>
      <c r="I36" s="96" t="n"/>
      <c r="J36" s="96" t="n"/>
      <c r="K36" s="96" t="n"/>
      <c r="L36" s="96" t="n"/>
      <c r="M36" s="96" t="n"/>
      <c r="N36" s="96" t="n"/>
      <c r="O36" s="96" t="n"/>
      <c r="P36" s="96" t="n"/>
      <c r="Q36" s="96" t="n"/>
      <c r="R36" s="96" t="n"/>
      <c r="S36" s="96" t="n"/>
      <c r="T36" s="96" t="n"/>
      <c r="U36" s="96" t="n"/>
      <c r="V36" s="96" t="n"/>
      <c r="W36" s="96" t="n"/>
      <c r="X36" s="96" t="n"/>
      <c r="Y36" s="96" t="n"/>
      <c r="Z36" s="96" t="n"/>
      <c r="AA36" s="96" t="n"/>
      <c r="AB36" s="96" t="n"/>
      <c r="AC36" s="96" t="n"/>
      <c r="AD36" s="96" t="n"/>
      <c r="AE36" s="96" t="n"/>
      <c r="AF36" s="96" t="n"/>
      <c r="AG36" s="96" t="n"/>
      <c r="AH36" s="96" t="n"/>
      <c r="AI36" s="96" t="n"/>
      <c r="AJ36" s="96" t="n"/>
      <c r="AK36" s="96" t="n"/>
      <c r="AL36" s="96" t="n"/>
      <c r="AM36" s="96" t="n"/>
      <c r="AN36" s="96" t="n"/>
    </row>
    <row r="37">
      <c r="A37" s="96" t="n"/>
      <c r="B37" s="96" t="n"/>
      <c r="C37" s="96" t="n"/>
      <c r="D37" s="96" t="n"/>
      <c r="E37" s="96" t="n"/>
      <c r="F37" s="96" t="n"/>
      <c r="G37" s="96" t="n"/>
      <c r="H37" s="96" t="n"/>
      <c r="I37" s="96" t="n"/>
      <c r="J37" s="96" t="n"/>
      <c r="K37" s="96" t="n"/>
      <c r="L37" s="96" t="n"/>
      <c r="M37" s="96" t="n"/>
      <c r="N37" s="96" t="n"/>
      <c r="O37" s="96" t="n"/>
      <c r="P37" s="96" t="n"/>
      <c r="Q37" s="96" t="n"/>
      <c r="R37" s="96" t="n"/>
      <c r="S37" s="96" t="n"/>
      <c r="T37" s="96" t="n"/>
      <c r="U37" s="96" t="n"/>
      <c r="V37" s="96" t="n"/>
      <c r="W37" s="96" t="n"/>
      <c r="X37" s="96" t="n"/>
      <c r="Y37" s="96" t="n"/>
      <c r="Z37" s="96" t="n"/>
      <c r="AA37" s="96" t="n"/>
      <c r="AB37" s="96" t="n"/>
      <c r="AC37" s="96" t="n"/>
      <c r="AD37" s="96" t="n"/>
      <c r="AE37" s="96" t="n"/>
      <c r="AF37" s="96" t="n"/>
      <c r="AG37" s="96" t="n"/>
      <c r="AH37" s="96" t="n"/>
      <c r="AI37" s="96" t="n"/>
      <c r="AJ37" s="96" t="n"/>
      <c r="AK37" s="96" t="n"/>
      <c r="AL37" s="96" t="n"/>
      <c r="AM37" s="96" t="n"/>
      <c r="AN37" s="96" t="n"/>
    </row>
    <row r="38">
      <c r="A38" s="96" t="n"/>
      <c r="B38" s="96" t="n"/>
      <c r="C38" s="96" t="n"/>
      <c r="D38" s="96" t="n"/>
      <c r="E38" s="96" t="n"/>
      <c r="F38" s="96" t="n"/>
      <c r="G38" s="96" t="n"/>
      <c r="H38" s="96" t="n"/>
      <c r="I38" s="96" t="n"/>
      <c r="J38" s="96" t="n"/>
      <c r="K38" s="96" t="n"/>
      <c r="L38" s="96" t="n"/>
      <c r="M38" s="96" t="n"/>
      <c r="N38" s="96" t="n"/>
      <c r="O38" s="96" t="n"/>
      <c r="P38" s="96" t="n"/>
      <c r="Q38" s="96" t="n"/>
      <c r="R38" s="96" t="n"/>
      <c r="S38" s="96" t="n"/>
      <c r="T38" s="96" t="n"/>
      <c r="U38" s="96" t="n"/>
      <c r="V38" s="96" t="n"/>
      <c r="W38" s="96" t="n"/>
      <c r="X38" s="96" t="n"/>
      <c r="Y38" s="96" t="n"/>
      <c r="Z38" s="96" t="n"/>
      <c r="AA38" s="96" t="n"/>
      <c r="AB38" s="96" t="n"/>
      <c r="AC38" s="96" t="n"/>
      <c r="AD38" s="96" t="n"/>
      <c r="AE38" s="96" t="n"/>
      <c r="AF38" s="96" t="n"/>
      <c r="AG38" s="96" t="n"/>
      <c r="AH38" s="96" t="n"/>
      <c r="AI38" s="96" t="n"/>
      <c r="AJ38" s="96" t="n"/>
      <c r="AK38" s="96" t="n"/>
      <c r="AL38" s="96" t="n"/>
      <c r="AM38" s="96" t="n"/>
      <c r="AN38" s="96" t="n"/>
    </row>
    <row r="39">
      <c r="A39" s="96" t="n"/>
      <c r="B39" s="96" t="n"/>
      <c r="C39" s="96" t="n"/>
      <c r="D39" s="96" t="n"/>
      <c r="E39" s="96" t="n"/>
      <c r="F39" s="96" t="n"/>
      <c r="G39" s="96" t="n"/>
      <c r="H39" s="96" t="n"/>
      <c r="I39" s="96" t="n"/>
      <c r="J39" s="96" t="n"/>
      <c r="K39" s="96" t="n"/>
      <c r="L39" s="96" t="n"/>
      <c r="M39" s="96" t="n"/>
      <c r="N39" s="96" t="n"/>
      <c r="O39" s="96" t="n"/>
      <c r="P39" s="96" t="n"/>
      <c r="Q39" s="96" t="n"/>
      <c r="R39" s="96" t="n"/>
      <c r="S39" s="96" t="n"/>
      <c r="T39" s="96" t="n"/>
      <c r="U39" s="96" t="n"/>
      <c r="V39" s="96" t="n"/>
      <c r="W39" s="96" t="n"/>
      <c r="X39" s="96" t="n"/>
      <c r="Y39" s="96" t="n"/>
      <c r="Z39" s="96" t="n"/>
      <c r="AA39" s="96" t="n"/>
      <c r="AB39" s="96" t="n"/>
      <c r="AC39" s="96" t="n"/>
      <c r="AD39" s="96" t="n"/>
      <c r="AE39" s="96" t="n"/>
      <c r="AF39" s="96" t="n"/>
      <c r="AG39" s="96" t="n"/>
      <c r="AH39" s="96" t="n"/>
      <c r="AI39" s="96" t="n"/>
      <c r="AJ39" s="96" t="n"/>
      <c r="AK39" s="96" t="n"/>
      <c r="AL39" s="96" t="n"/>
      <c r="AM39" s="96" t="n"/>
      <c r="AN39" s="96" t="n"/>
    </row>
    <row r="40">
      <c r="A40" s="96" t="n"/>
      <c r="B40" s="96" t="n"/>
      <c r="C40" s="96" t="n"/>
      <c r="D40" s="96" t="n"/>
      <c r="E40" s="96" t="n"/>
      <c r="F40" s="96" t="n"/>
      <c r="G40" s="96" t="n"/>
      <c r="H40" s="96" t="n"/>
      <c r="I40" s="96" t="n"/>
      <c r="J40" s="96" t="n"/>
      <c r="K40" s="96" t="n"/>
      <c r="L40" s="96" t="n"/>
      <c r="M40" s="96" t="n"/>
      <c r="N40" s="96" t="n"/>
      <c r="O40" s="96" t="n"/>
      <c r="P40" s="96" t="n"/>
      <c r="Q40" s="96" t="n"/>
      <c r="R40" s="96" t="n"/>
      <c r="S40" s="96" t="n"/>
      <c r="T40" s="96" t="n"/>
      <c r="U40" s="96" t="n"/>
      <c r="V40" s="96" t="n"/>
      <c r="W40" s="96" t="n"/>
      <c r="X40" s="96" t="n"/>
      <c r="Y40" s="96" t="n"/>
      <c r="Z40" s="96" t="n"/>
      <c r="AA40" s="96" t="n"/>
      <c r="AB40" s="96" t="n"/>
      <c r="AC40" s="96" t="n"/>
      <c r="AD40" s="96" t="n"/>
      <c r="AE40" s="96" t="n"/>
      <c r="AF40" s="96" t="n"/>
      <c r="AG40" s="96" t="n"/>
      <c r="AH40" s="96" t="n"/>
      <c r="AI40" s="96" t="n"/>
      <c r="AJ40" s="96" t="n"/>
      <c r="AK40" s="96" t="n"/>
      <c r="AL40" s="96" t="n"/>
      <c r="AM40" s="96" t="n"/>
      <c r="AN40" s="96" t="n"/>
    </row>
    <row r="41">
      <c r="A41" s="96" t="n"/>
      <c r="B41" s="96" t="n"/>
      <c r="C41" s="96" t="n"/>
      <c r="D41" s="96" t="n"/>
      <c r="E41" s="96" t="n"/>
      <c r="F41" s="96" t="n"/>
      <c r="G41" s="96" t="n"/>
      <c r="H41" s="96" t="n"/>
      <c r="I41" s="96" t="n"/>
      <c r="J41" s="96" t="n"/>
      <c r="K41" s="96" t="n"/>
      <c r="L41" s="96" t="n"/>
      <c r="M41" s="96" t="n"/>
      <c r="N41" s="96" t="n"/>
      <c r="O41" s="96" t="n"/>
      <c r="P41" s="96" t="n"/>
      <c r="Q41" s="96" t="n"/>
      <c r="R41" s="96" t="n"/>
      <c r="S41" s="96" t="n"/>
      <c r="T41" s="96" t="n"/>
      <c r="U41" s="96" t="n"/>
      <c r="V41" s="96" t="n"/>
      <c r="W41" s="96" t="n"/>
      <c r="X41" s="96" t="n"/>
      <c r="Y41" s="96" t="n"/>
      <c r="Z41" s="96" t="n"/>
      <c r="AA41" s="96" t="n"/>
      <c r="AB41" s="96" t="n"/>
      <c r="AC41" s="96" t="n"/>
      <c r="AD41" s="96" t="n"/>
      <c r="AE41" s="96" t="n"/>
      <c r="AF41" s="96" t="n"/>
      <c r="AG41" s="96" t="n"/>
      <c r="AH41" s="96" t="n"/>
      <c r="AI41" s="96" t="n"/>
      <c r="AJ41" s="96" t="n"/>
      <c r="AK41" s="96" t="n"/>
      <c r="AL41" s="96" t="n"/>
      <c r="AM41" s="96" t="n"/>
      <c r="AN41" s="96" t="n"/>
    </row>
    <row r="42">
      <c r="A42" s="96" t="n"/>
      <c r="B42" s="96" t="n"/>
      <c r="C42" s="96" t="n"/>
      <c r="D42" s="96" t="n"/>
      <c r="E42" s="96" t="n"/>
      <c r="F42" s="96" t="n"/>
      <c r="G42" s="96" t="n"/>
      <c r="H42" s="96" t="n"/>
      <c r="I42" s="96" t="n"/>
      <c r="J42" s="96" t="n"/>
      <c r="K42" s="96" t="n"/>
      <c r="L42" s="96" t="n"/>
      <c r="M42" s="96" t="n"/>
      <c r="N42" s="96" t="n"/>
      <c r="O42" s="96" t="n"/>
      <c r="P42" s="96" t="n"/>
      <c r="Q42" s="96" t="n"/>
      <c r="R42" s="96" t="n"/>
      <c r="S42" s="96" t="n"/>
      <c r="T42" s="96" t="n"/>
      <c r="U42" s="96" t="n"/>
      <c r="V42" s="96" t="n"/>
      <c r="W42" s="96" t="n"/>
      <c r="X42" s="96" t="n"/>
      <c r="Y42" s="96" t="n"/>
      <c r="Z42" s="96" t="n"/>
      <c r="AA42" s="96" t="n"/>
      <c r="AB42" s="96" t="n"/>
      <c r="AC42" s="96" t="n"/>
      <c r="AD42" s="96" t="n"/>
      <c r="AE42" s="96" t="n"/>
      <c r="AF42" s="96" t="n"/>
      <c r="AG42" s="96" t="n"/>
      <c r="AH42" s="96" t="n"/>
      <c r="AI42" s="96" t="n"/>
      <c r="AJ42" s="96" t="n"/>
      <c r="AK42" s="96" t="n"/>
      <c r="AL42" s="96" t="n"/>
      <c r="AM42" s="96" t="n"/>
      <c r="AN42" s="96" t="n"/>
    </row>
    <row r="43">
      <c r="A43" s="96" t="n"/>
      <c r="B43" s="96" t="n"/>
      <c r="C43" s="96" t="n"/>
      <c r="D43" s="96" t="n"/>
      <c r="E43" s="96" t="n"/>
      <c r="F43" s="96" t="n"/>
      <c r="G43" s="96" t="n"/>
      <c r="H43" s="96" t="n"/>
      <c r="I43" s="96" t="n"/>
      <c r="J43" s="96" t="n"/>
      <c r="K43" s="96" t="n"/>
      <c r="L43" s="96" t="n"/>
      <c r="M43" s="96" t="n"/>
      <c r="N43" s="96" t="n"/>
      <c r="O43" s="96" t="n"/>
      <c r="P43" s="96" t="n"/>
      <c r="Q43" s="96" t="n"/>
      <c r="R43" s="96" t="n"/>
      <c r="S43" s="96" t="n"/>
      <c r="T43" s="96" t="n"/>
      <c r="U43" s="96" t="n"/>
      <c r="V43" s="96" t="n"/>
      <c r="W43" s="96" t="n"/>
      <c r="X43" s="96" t="n"/>
      <c r="Y43" s="96" t="n"/>
      <c r="Z43" s="96" t="n"/>
      <c r="AA43" s="96" t="n"/>
      <c r="AB43" s="96" t="n"/>
      <c r="AC43" s="96" t="n"/>
      <c r="AD43" s="96" t="n"/>
      <c r="AE43" s="96" t="n"/>
      <c r="AF43" s="96" t="n"/>
      <c r="AG43" s="96" t="n"/>
      <c r="AH43" s="96" t="n"/>
      <c r="AI43" s="96" t="n"/>
      <c r="AJ43" s="96" t="n"/>
      <c r="AK43" s="96" t="n"/>
      <c r="AL43" s="96" t="n"/>
      <c r="AM43" s="96" t="n"/>
      <c r="AN43" s="96" t="n"/>
    </row>
    <row r="44">
      <c r="A44" s="96" t="n"/>
      <c r="B44" s="96" t="n"/>
      <c r="C44" s="96" t="n"/>
      <c r="D44" s="96" t="n"/>
      <c r="E44" s="96" t="n"/>
      <c r="F44" s="96" t="n"/>
      <c r="G44" s="96" t="n"/>
      <c r="H44" s="96" t="n"/>
      <c r="I44" s="96" t="n"/>
      <c r="J44" s="96" t="n"/>
      <c r="K44" s="96" t="n"/>
      <c r="L44" s="96" t="n"/>
      <c r="M44" s="96" t="n"/>
      <c r="N44" s="96" t="n"/>
      <c r="O44" s="96" t="n"/>
      <c r="P44" s="96" t="n"/>
      <c r="Q44" s="96" t="n"/>
      <c r="R44" s="96" t="n"/>
      <c r="S44" s="96" t="n"/>
      <c r="T44" s="96" t="n"/>
      <c r="U44" s="96" t="n"/>
      <c r="V44" s="96" t="n"/>
      <c r="W44" s="96" t="n"/>
      <c r="X44" s="96" t="n"/>
      <c r="Y44" s="96" t="n"/>
      <c r="Z44" s="96" t="n"/>
      <c r="AA44" s="96" t="n"/>
      <c r="AB44" s="96" t="n"/>
      <c r="AC44" s="96" t="n"/>
      <c r="AD44" s="96" t="n"/>
      <c r="AE44" s="96" t="n"/>
      <c r="AF44" s="96" t="n"/>
      <c r="AG44" s="96" t="n"/>
      <c r="AH44" s="96" t="n"/>
      <c r="AI44" s="96" t="n"/>
      <c r="AJ44" s="96" t="n"/>
      <c r="AK44" s="96" t="n"/>
      <c r="AL44" s="96" t="n"/>
      <c r="AM44" s="96" t="n"/>
      <c r="AN44" s="96" t="n"/>
    </row>
    <row r="45">
      <c r="A45" s="96" t="n"/>
      <c r="B45" s="96" t="n"/>
      <c r="C45" s="96" t="n"/>
      <c r="D45" s="96" t="n"/>
      <c r="E45" s="96" t="n"/>
      <c r="F45" s="96" t="n"/>
      <c r="G45" s="96" t="n"/>
      <c r="H45" s="96" t="n"/>
      <c r="I45" s="96" t="n"/>
      <c r="J45" s="96" t="n"/>
      <c r="K45" s="96" t="n"/>
      <c r="L45" s="96" t="n"/>
      <c r="M45" s="96" t="n"/>
      <c r="N45" s="96" t="n"/>
      <c r="O45" s="96" t="n"/>
      <c r="P45" s="96" t="n"/>
      <c r="Q45" s="96" t="n"/>
      <c r="R45" s="96" t="n"/>
      <c r="S45" s="96" t="n"/>
      <c r="T45" s="96" t="n"/>
      <c r="U45" s="96" t="n"/>
      <c r="V45" s="96" t="n"/>
      <c r="W45" s="96" t="n"/>
      <c r="X45" s="96" t="n"/>
      <c r="Y45" s="96" t="n"/>
      <c r="Z45" s="96" t="n"/>
      <c r="AA45" s="96" t="n"/>
      <c r="AB45" s="96" t="n"/>
      <c r="AC45" s="96" t="n"/>
      <c r="AD45" s="96" t="n"/>
      <c r="AE45" s="96" t="n"/>
      <c r="AF45" s="96" t="n"/>
      <c r="AG45" s="96" t="n"/>
      <c r="AH45" s="96" t="n"/>
      <c r="AI45" s="96" t="n"/>
      <c r="AJ45" s="96" t="n"/>
      <c r="AK45" s="96" t="n"/>
      <c r="AL45" s="96" t="n"/>
      <c r="AM45" s="96" t="n"/>
      <c r="AN45" s="96" t="n"/>
    </row>
    <row r="46">
      <c r="A46" s="96" t="n"/>
      <c r="B46" s="96" t="n"/>
      <c r="C46" s="96" t="n"/>
      <c r="D46" s="96" t="n"/>
      <c r="E46" s="96" t="n"/>
      <c r="F46" s="96" t="n"/>
      <c r="G46" s="96" t="n"/>
      <c r="H46" s="96" t="n"/>
      <c r="I46" s="96" t="n"/>
      <c r="J46" s="96" t="n"/>
      <c r="K46" s="96" t="n"/>
      <c r="L46" s="96" t="n"/>
      <c r="M46" s="96" t="n"/>
      <c r="N46" s="96" t="n"/>
      <c r="O46" s="96" t="n"/>
      <c r="P46" s="96" t="n"/>
      <c r="Q46" s="96" t="n"/>
      <c r="R46" s="96" t="n"/>
      <c r="S46" s="96" t="n"/>
      <c r="T46" s="96" t="n"/>
      <c r="U46" s="96" t="n"/>
      <c r="V46" s="96" t="n"/>
      <c r="W46" s="96" t="n"/>
      <c r="X46" s="96" t="n"/>
      <c r="Y46" s="96" t="n"/>
      <c r="Z46" s="96" t="n"/>
      <c r="AA46" s="96" t="n"/>
      <c r="AB46" s="96" t="n"/>
      <c r="AC46" s="96" t="n"/>
      <c r="AD46" s="96" t="n"/>
      <c r="AE46" s="96" t="n"/>
      <c r="AF46" s="96" t="n"/>
      <c r="AG46" s="96" t="n"/>
      <c r="AH46" s="96" t="n"/>
      <c r="AI46" s="96" t="n"/>
      <c r="AJ46" s="96" t="n"/>
      <c r="AK46" s="96" t="n"/>
      <c r="AL46" s="96" t="n"/>
      <c r="AM46" s="96" t="n"/>
      <c r="AN46" s="96" t="n"/>
    </row>
    <row r="47">
      <c r="A47" s="96" t="n"/>
      <c r="B47" s="96" t="n"/>
      <c r="C47" s="96" t="n"/>
      <c r="D47" s="96" t="n"/>
      <c r="E47" s="96" t="n"/>
      <c r="F47" s="96" t="n"/>
      <c r="G47" s="96" t="n"/>
      <c r="H47" s="96" t="n"/>
      <c r="I47" s="96" t="n"/>
      <c r="J47" s="96" t="n"/>
      <c r="K47" s="96" t="n"/>
      <c r="L47" s="96" t="n"/>
      <c r="M47" s="96" t="n"/>
      <c r="N47" s="96" t="n"/>
      <c r="O47" s="96" t="n"/>
      <c r="P47" s="96" t="n"/>
      <c r="Q47" s="96" t="n"/>
      <c r="R47" s="96" t="n"/>
      <c r="S47" s="96" t="n"/>
      <c r="T47" s="96" t="n"/>
      <c r="U47" s="96" t="n"/>
      <c r="V47" s="96" t="n"/>
      <c r="W47" s="96" t="n"/>
      <c r="X47" s="96" t="n"/>
      <c r="Y47" s="96" t="n"/>
      <c r="Z47" s="96" t="n"/>
      <c r="AA47" s="96" t="n"/>
      <c r="AB47" s="96" t="n"/>
      <c r="AC47" s="96" t="n"/>
      <c r="AD47" s="96" t="n"/>
      <c r="AE47" s="96" t="n"/>
      <c r="AF47" s="96" t="n"/>
      <c r="AG47" s="96" t="n"/>
      <c r="AH47" s="96" t="n"/>
      <c r="AI47" s="96" t="n"/>
      <c r="AJ47" s="96" t="n"/>
      <c r="AK47" s="96" t="n"/>
      <c r="AL47" s="96" t="n"/>
      <c r="AM47" s="96" t="n"/>
      <c r="AN47" s="96" t="n"/>
    </row>
    <row r="48">
      <c r="A48" s="96" t="n"/>
      <c r="B48" s="96" t="n"/>
      <c r="C48" s="96" t="n"/>
      <c r="D48" s="96" t="n"/>
      <c r="E48" s="96" t="n"/>
      <c r="F48" s="96" t="n"/>
      <c r="G48" s="96" t="n"/>
      <c r="H48" s="96" t="n"/>
      <c r="I48" s="96" t="n"/>
      <c r="J48" s="96" t="n"/>
      <c r="K48" s="96" t="n"/>
      <c r="L48" s="96" t="n"/>
      <c r="M48" s="96" t="n"/>
      <c r="N48" s="96" t="n"/>
      <c r="O48" s="96" t="n"/>
      <c r="P48" s="96" t="n"/>
      <c r="Q48" s="96" t="n"/>
      <c r="R48" s="96" t="n"/>
      <c r="S48" s="96" t="n"/>
      <c r="T48" s="96" t="n"/>
      <c r="U48" s="96" t="n"/>
      <c r="V48" s="96" t="n"/>
      <c r="W48" s="96" t="n"/>
      <c r="X48" s="96" t="n"/>
      <c r="Y48" s="96" t="n"/>
      <c r="Z48" s="96" t="n"/>
      <c r="AA48" s="96" t="n"/>
      <c r="AB48" s="96" t="n"/>
      <c r="AC48" s="96" t="n"/>
      <c r="AD48" s="96" t="n"/>
      <c r="AE48" s="96" t="n"/>
      <c r="AF48" s="96" t="n"/>
      <c r="AG48" s="96" t="n"/>
      <c r="AH48" s="96" t="n"/>
      <c r="AI48" s="96" t="n"/>
      <c r="AJ48" s="96" t="n"/>
      <c r="AK48" s="96" t="n"/>
      <c r="AL48" s="96" t="n"/>
      <c r="AM48" s="96" t="n"/>
      <c r="AN48" s="96" t="n"/>
    </row>
    <row r="49">
      <c r="A49" s="96" t="n"/>
      <c r="B49" s="96" t="n"/>
      <c r="C49" s="96" t="n"/>
      <c r="D49" s="96" t="n"/>
      <c r="E49" s="96" t="n"/>
      <c r="F49" s="96" t="n"/>
      <c r="G49" s="96" t="n"/>
      <c r="H49" s="96" t="n"/>
      <c r="I49" s="96" t="n"/>
      <c r="J49" s="96" t="n"/>
      <c r="K49" s="96" t="n"/>
      <c r="L49" s="96" t="n"/>
      <c r="M49" s="96" t="n"/>
      <c r="N49" s="96" t="n"/>
      <c r="O49" s="96" t="n"/>
      <c r="P49" s="96" t="n"/>
      <c r="Q49" s="96" t="n"/>
      <c r="R49" s="96" t="n"/>
      <c r="S49" s="96" t="n"/>
      <c r="T49" s="96" t="n"/>
      <c r="U49" s="96" t="n"/>
      <c r="V49" s="96" t="n"/>
      <c r="W49" s="96" t="n"/>
      <c r="X49" s="96" t="n"/>
      <c r="Y49" s="96" t="n"/>
      <c r="Z49" s="96" t="n"/>
      <c r="AA49" s="96" t="n"/>
      <c r="AB49" s="96" t="n"/>
      <c r="AC49" s="96" t="n"/>
      <c r="AD49" s="96" t="n"/>
      <c r="AE49" s="96" t="n"/>
      <c r="AF49" s="96" t="n"/>
      <c r="AG49" s="96" t="n"/>
      <c r="AH49" s="96" t="n"/>
      <c r="AI49" s="96" t="n"/>
      <c r="AJ49" s="96" t="n"/>
      <c r="AK49" s="96" t="n"/>
      <c r="AL49" s="96" t="n"/>
      <c r="AM49" s="96" t="n"/>
      <c r="AN49" s="96" t="n"/>
    </row>
    <row r="50">
      <c r="A50" s="96" t="n"/>
      <c r="B50" s="96" t="n"/>
      <c r="C50" s="96" t="n"/>
      <c r="D50" s="96" t="n"/>
      <c r="E50" s="96" t="n"/>
      <c r="F50" s="96" t="n"/>
      <c r="G50" s="96" t="n"/>
      <c r="H50" s="96" t="n"/>
      <c r="I50" s="96" t="n"/>
      <c r="J50" s="96" t="n"/>
      <c r="K50" s="96" t="n"/>
      <c r="L50" s="96" t="n"/>
      <c r="M50" s="96" t="n"/>
      <c r="N50" s="96" t="n"/>
      <c r="O50" s="96" t="n"/>
      <c r="P50" s="96" t="n"/>
      <c r="Q50" s="96" t="n"/>
      <c r="R50" s="96" t="n"/>
      <c r="S50" s="96" t="n"/>
      <c r="T50" s="96" t="n"/>
      <c r="U50" s="96" t="n"/>
      <c r="V50" s="96" t="n"/>
      <c r="W50" s="96" t="n"/>
      <c r="X50" s="96" t="n"/>
      <c r="Y50" s="96" t="n"/>
      <c r="Z50" s="96" t="n"/>
      <c r="AA50" s="96" t="n"/>
      <c r="AB50" s="96" t="n"/>
      <c r="AC50" s="96" t="n"/>
      <c r="AD50" s="96" t="n"/>
      <c r="AE50" s="96" t="n"/>
      <c r="AF50" s="96" t="n"/>
      <c r="AG50" s="96" t="n"/>
      <c r="AH50" s="96" t="n"/>
      <c r="AI50" s="96" t="n"/>
      <c r="AJ50" s="96" t="n"/>
      <c r="AK50" s="96" t="n"/>
      <c r="AL50" s="96" t="n"/>
      <c r="AM50" s="96" t="n"/>
      <c r="AN50" s="96" t="n"/>
    </row>
    <row r="51">
      <c r="A51" s="96" t="n"/>
      <c r="B51" s="96" t="n"/>
      <c r="C51" s="96" t="n"/>
      <c r="D51" s="96" t="n"/>
      <c r="E51" s="96" t="n"/>
      <c r="F51" s="96" t="n"/>
      <c r="G51" s="96" t="n"/>
      <c r="H51" s="96" t="n"/>
      <c r="I51" s="96" t="n"/>
      <c r="J51" s="96" t="n"/>
      <c r="K51" s="96" t="n"/>
      <c r="L51" s="96" t="n"/>
      <c r="M51" s="96" t="n"/>
      <c r="N51" s="96" t="n"/>
      <c r="O51" s="96" t="n"/>
      <c r="P51" s="96" t="n"/>
      <c r="Q51" s="96" t="n"/>
      <c r="R51" s="96" t="n"/>
      <c r="S51" s="96" t="n"/>
      <c r="T51" s="96" t="n"/>
      <c r="U51" s="96" t="n"/>
      <c r="V51" s="96" t="n"/>
      <c r="W51" s="96" t="n"/>
      <c r="X51" s="96" t="n"/>
      <c r="Y51" s="96" t="n"/>
      <c r="Z51" s="96" t="n"/>
      <c r="AA51" s="96" t="n"/>
      <c r="AB51" s="96" t="n"/>
      <c r="AC51" s="96" t="n"/>
      <c r="AD51" s="96" t="n"/>
      <c r="AE51" s="96" t="n"/>
      <c r="AF51" s="96" t="n"/>
      <c r="AG51" s="96" t="n"/>
      <c r="AH51" s="96" t="n"/>
      <c r="AI51" s="96" t="n"/>
      <c r="AJ51" s="96" t="n"/>
      <c r="AK51" s="96" t="n"/>
      <c r="AL51" s="96" t="n"/>
      <c r="AM51" s="96" t="n"/>
      <c r="AN51" s="96" t="n"/>
    </row>
    <row r="52">
      <c r="A52" s="96" t="n"/>
      <c r="B52" s="96" t="n"/>
      <c r="C52" s="96" t="n"/>
      <c r="D52" s="96" t="n"/>
      <c r="E52" s="96" t="n"/>
      <c r="F52" s="96" t="n"/>
      <c r="G52" s="96" t="n"/>
      <c r="H52" s="96" t="n"/>
      <c r="I52" s="96" t="n"/>
      <c r="J52" s="96" t="n"/>
      <c r="K52" s="96" t="n"/>
      <c r="L52" s="96" t="n"/>
      <c r="M52" s="96" t="n"/>
      <c r="N52" s="96" t="n"/>
      <c r="O52" s="96" t="n"/>
      <c r="P52" s="96" t="n"/>
      <c r="Q52" s="96" t="n"/>
      <c r="R52" s="96" t="n"/>
      <c r="S52" s="96" t="n"/>
      <c r="T52" s="96" t="n"/>
      <c r="U52" s="96" t="n"/>
      <c r="V52" s="96" t="n"/>
      <c r="W52" s="96" t="n"/>
      <c r="X52" s="96" t="n"/>
      <c r="Y52" s="96" t="n"/>
      <c r="Z52" s="96" t="n"/>
      <c r="AA52" s="96" t="n"/>
      <c r="AB52" s="96" t="n"/>
      <c r="AC52" s="96" t="n"/>
      <c r="AD52" s="96" t="n"/>
      <c r="AE52" s="96" t="n"/>
      <c r="AF52" s="96" t="n"/>
      <c r="AG52" s="96" t="n"/>
      <c r="AH52" s="96" t="n"/>
      <c r="AI52" s="96" t="n"/>
      <c r="AJ52" s="96" t="n"/>
      <c r="AK52" s="96" t="n"/>
      <c r="AL52" s="96" t="n"/>
      <c r="AM52" s="96" t="n"/>
      <c r="AN52" s="96" t="n"/>
    </row>
    <row r="53">
      <c r="A53" s="96" t="n"/>
      <c r="B53" s="96" t="n"/>
      <c r="C53" s="96" t="n"/>
      <c r="D53" s="96" t="n"/>
      <c r="E53" s="96" t="n"/>
      <c r="F53" s="96" t="n"/>
      <c r="G53" s="96" t="n"/>
      <c r="H53" s="96" t="n"/>
      <c r="I53" s="96" t="n"/>
      <c r="J53" s="96" t="n"/>
      <c r="K53" s="96" t="n"/>
      <c r="L53" s="96" t="n"/>
      <c r="M53" s="96" t="n"/>
      <c r="N53" s="96" t="n"/>
      <c r="O53" s="96" t="n"/>
      <c r="P53" s="96" t="n"/>
      <c r="Q53" s="96" t="n"/>
      <c r="R53" s="96" t="n"/>
      <c r="S53" s="96" t="n"/>
      <c r="T53" s="96" t="n"/>
      <c r="U53" s="96" t="n"/>
      <c r="V53" s="96" t="n"/>
      <c r="W53" s="96" t="n"/>
      <c r="X53" s="96" t="n"/>
      <c r="Y53" s="96" t="n"/>
      <c r="Z53" s="96" t="n"/>
      <c r="AA53" s="96" t="n"/>
      <c r="AB53" s="96" t="n"/>
      <c r="AC53" s="96" t="n"/>
      <c r="AD53" s="96" t="n"/>
      <c r="AE53" s="96" t="n"/>
      <c r="AF53" s="96" t="n"/>
      <c r="AG53" s="96" t="n"/>
      <c r="AH53" s="96" t="n"/>
      <c r="AI53" s="96" t="n"/>
      <c r="AJ53" s="96" t="n"/>
      <c r="AK53" s="96" t="n"/>
      <c r="AL53" s="96" t="n"/>
      <c r="AM53" s="96" t="n"/>
      <c r="AN53" s="96" t="n"/>
    </row>
    <row r="54">
      <c r="A54" s="96" t="n"/>
      <c r="B54" s="96" t="n"/>
      <c r="C54" s="96" t="n"/>
      <c r="D54" s="96" t="n"/>
      <c r="E54" s="96" t="n"/>
      <c r="F54" s="96" t="n"/>
      <c r="G54" s="96" t="n"/>
      <c r="H54" s="96" t="n"/>
      <c r="I54" s="96" t="n"/>
      <c r="J54" s="96" t="n"/>
      <c r="K54" s="96" t="n"/>
      <c r="L54" s="96" t="n"/>
      <c r="M54" s="96" t="n"/>
      <c r="N54" s="96" t="n"/>
      <c r="O54" s="96" t="n"/>
      <c r="P54" s="96" t="n"/>
      <c r="Q54" s="96" t="n"/>
      <c r="R54" s="96" t="n"/>
      <c r="S54" s="96" t="n"/>
      <c r="T54" s="96" t="n"/>
      <c r="U54" s="96" t="n"/>
      <c r="V54" s="96" t="n"/>
      <c r="W54" s="96" t="n"/>
      <c r="X54" s="96" t="n"/>
      <c r="Y54" s="96" t="n"/>
      <c r="Z54" s="96" t="n"/>
      <c r="AA54" s="96" t="n"/>
      <c r="AB54" s="96" t="n"/>
      <c r="AC54" s="96" t="n"/>
      <c r="AD54" s="96" t="n"/>
      <c r="AE54" s="96" t="n"/>
      <c r="AF54" s="96" t="n"/>
      <c r="AG54" s="96" t="n"/>
      <c r="AH54" s="96" t="n"/>
      <c r="AI54" s="96" t="n"/>
      <c r="AJ54" s="96" t="n"/>
      <c r="AK54" s="96" t="n"/>
      <c r="AL54" s="96" t="n"/>
      <c r="AM54" s="96" t="n"/>
      <c r="AN54" s="96" t="n"/>
    </row>
    <row r="55">
      <c r="A55" s="96" t="n"/>
      <c r="B55" s="96" t="n"/>
      <c r="C55" s="96" t="n"/>
      <c r="D55" s="96" t="n"/>
      <c r="E55" s="96" t="n"/>
      <c r="F55" s="96" t="n"/>
      <c r="G55" s="96" t="n"/>
      <c r="H55" s="96" t="n"/>
      <c r="I55" s="96" t="n"/>
      <c r="J55" s="96" t="n"/>
      <c r="K55" s="96" t="n"/>
      <c r="L55" s="96" t="n"/>
      <c r="M55" s="96" t="n"/>
      <c r="N55" s="96" t="n"/>
      <c r="O55" s="96" t="n"/>
      <c r="P55" s="96" t="n"/>
      <c r="Q55" s="96" t="n"/>
      <c r="R55" s="96" t="n"/>
      <c r="S55" s="96" t="n"/>
      <c r="T55" s="96" t="n"/>
      <c r="U55" s="96" t="n"/>
      <c r="V55" s="96" t="n"/>
      <c r="W55" s="96" t="n"/>
      <c r="X55" s="96" t="n"/>
      <c r="Y55" s="96" t="n"/>
      <c r="Z55" s="96" t="n"/>
      <c r="AA55" s="96" t="n"/>
      <c r="AB55" s="96" t="n"/>
      <c r="AC55" s="96" t="n"/>
      <c r="AD55" s="96" t="n"/>
      <c r="AE55" s="96" t="n"/>
      <c r="AF55" s="96" t="n"/>
      <c r="AG55" s="96" t="n"/>
      <c r="AH55" s="96" t="n"/>
      <c r="AI55" s="96" t="n"/>
      <c r="AJ55" s="96" t="n"/>
      <c r="AK55" s="96" t="n"/>
      <c r="AL55" s="96" t="n"/>
      <c r="AM55" s="96" t="n"/>
      <c r="AN55" s="96" t="n"/>
    </row>
    <row r="56">
      <c r="A56" s="96" t="n"/>
      <c r="B56" s="96" t="n"/>
      <c r="C56" s="96" t="n"/>
      <c r="D56" s="96" t="n"/>
      <c r="E56" s="96" t="n"/>
      <c r="F56" s="96" t="n"/>
      <c r="G56" s="96" t="n"/>
      <c r="H56" s="96" t="n"/>
      <c r="I56" s="96" t="n"/>
      <c r="J56" s="96" t="n"/>
      <c r="K56" s="96" t="n"/>
      <c r="L56" s="96" t="n"/>
      <c r="M56" s="96" t="n"/>
      <c r="N56" s="96" t="n"/>
      <c r="O56" s="96" t="n"/>
      <c r="P56" s="96" t="n"/>
      <c r="Q56" s="96" t="n"/>
      <c r="R56" s="96" t="n"/>
      <c r="S56" s="96" t="n"/>
      <c r="T56" s="96" t="n"/>
      <c r="U56" s="96" t="n"/>
      <c r="V56" s="96" t="n"/>
      <c r="W56" s="96" t="n"/>
      <c r="X56" s="96" t="n"/>
      <c r="Y56" s="96" t="n"/>
      <c r="Z56" s="96" t="n"/>
      <c r="AA56" s="96" t="n"/>
      <c r="AB56" s="96" t="n"/>
      <c r="AC56" s="96" t="n"/>
      <c r="AD56" s="96" t="n"/>
      <c r="AE56" s="96" t="n"/>
      <c r="AF56" s="96" t="n"/>
      <c r="AG56" s="96" t="n"/>
      <c r="AH56" s="96" t="n"/>
      <c r="AI56" s="96" t="n"/>
      <c r="AJ56" s="96" t="n"/>
      <c r="AK56" s="96" t="n"/>
      <c r="AL56" s="96" t="n"/>
      <c r="AM56" s="96" t="n"/>
      <c r="AN56" s="96" t="n"/>
    </row>
    <row r="57">
      <c r="A57" s="96" t="n"/>
      <c r="B57" s="96" t="n"/>
      <c r="C57" s="96" t="n"/>
      <c r="D57" s="96" t="n"/>
      <c r="E57" s="96" t="n"/>
      <c r="F57" s="96" t="n"/>
      <c r="G57" s="96" t="n"/>
      <c r="H57" s="96" t="n"/>
      <c r="I57" s="96" t="n"/>
      <c r="J57" s="96" t="n"/>
      <c r="K57" s="96" t="n"/>
      <c r="L57" s="96" t="n"/>
      <c r="M57" s="96" t="n"/>
      <c r="N57" s="96" t="n"/>
      <c r="O57" s="96" t="n"/>
      <c r="P57" s="96" t="n"/>
      <c r="Q57" s="96" t="n"/>
      <c r="R57" s="96" t="n"/>
      <c r="S57" s="96" t="n"/>
      <c r="T57" s="96" t="n"/>
      <c r="U57" s="96" t="n"/>
      <c r="V57" s="96" t="n"/>
      <c r="W57" s="96" t="n"/>
      <c r="X57" s="96" t="n"/>
      <c r="Y57" s="96" t="n"/>
      <c r="Z57" s="96" t="n"/>
      <c r="AA57" s="96" t="n"/>
      <c r="AB57" s="96" t="n"/>
      <c r="AC57" s="96" t="n"/>
      <c r="AD57" s="96" t="n"/>
      <c r="AE57" s="96" t="n"/>
      <c r="AF57" s="96" t="n"/>
      <c r="AG57" s="96" t="n"/>
      <c r="AH57" s="96" t="n"/>
      <c r="AI57" s="96" t="n"/>
      <c r="AJ57" s="96" t="n"/>
      <c r="AK57" s="96" t="n"/>
      <c r="AL57" s="96" t="n"/>
      <c r="AM57" s="96" t="n"/>
      <c r="AN57" s="96" t="n"/>
    </row>
    <row r="58">
      <c r="A58" s="96" t="n"/>
      <c r="B58" s="96" t="n"/>
      <c r="C58" s="96" t="n"/>
      <c r="D58" s="96" t="n"/>
      <c r="E58" s="96" t="n"/>
      <c r="F58" s="96" t="n"/>
      <c r="G58" s="96" t="n"/>
      <c r="H58" s="96" t="n"/>
      <c r="I58" s="96" t="n"/>
      <c r="J58" s="96" t="n"/>
      <c r="K58" s="96" t="n"/>
      <c r="L58" s="96" t="n"/>
      <c r="M58" s="96" t="n"/>
      <c r="N58" s="96" t="n"/>
      <c r="O58" s="96" t="n"/>
      <c r="P58" s="96" t="n"/>
      <c r="Q58" s="96" t="n"/>
      <c r="R58" s="96" t="n"/>
      <c r="S58" s="96" t="n"/>
      <c r="T58" s="96" t="n"/>
      <c r="U58" s="96" t="n"/>
      <c r="V58" s="96" t="n"/>
      <c r="W58" s="96" t="n"/>
      <c r="X58" s="96" t="n"/>
      <c r="Y58" s="96" t="n"/>
      <c r="Z58" s="96" t="n"/>
      <c r="AA58" s="96" t="n"/>
      <c r="AB58" s="96" t="n"/>
      <c r="AC58" s="96" t="n"/>
      <c r="AD58" s="96" t="n"/>
      <c r="AE58" s="96" t="n"/>
      <c r="AF58" s="96" t="n"/>
      <c r="AG58" s="96" t="n"/>
      <c r="AH58" s="96" t="n"/>
      <c r="AI58" s="96" t="n"/>
      <c r="AJ58" s="96" t="n"/>
      <c r="AK58" s="96" t="n"/>
      <c r="AL58" s="96" t="n"/>
      <c r="AM58" s="96" t="n"/>
      <c r="AN58" s="96" t="n"/>
    </row>
    <row r="59">
      <c r="A59" s="96" t="n"/>
      <c r="B59" s="96" t="n"/>
      <c r="C59" s="96" t="n"/>
      <c r="D59" s="96" t="n"/>
      <c r="E59" s="96" t="n"/>
      <c r="F59" s="96" t="n"/>
      <c r="G59" s="96" t="n"/>
      <c r="H59" s="96" t="n"/>
      <c r="I59" s="96" t="n"/>
      <c r="J59" s="96" t="n"/>
      <c r="K59" s="96" t="n"/>
      <c r="L59" s="96" t="n"/>
      <c r="M59" s="96" t="n"/>
      <c r="N59" s="96" t="n"/>
      <c r="O59" s="96" t="n"/>
      <c r="P59" s="96" t="n"/>
      <c r="Q59" s="96" t="n"/>
      <c r="R59" s="96" t="n"/>
      <c r="S59" s="96" t="n"/>
      <c r="T59" s="96" t="n"/>
      <c r="U59" s="96" t="n"/>
      <c r="V59" s="96" t="n"/>
      <c r="W59" s="96" t="n"/>
      <c r="X59" s="96" t="n"/>
      <c r="Y59" s="96" t="n"/>
      <c r="Z59" s="96" t="n"/>
      <c r="AA59" s="96" t="n"/>
      <c r="AB59" s="96" t="n"/>
      <c r="AC59" s="96" t="n"/>
      <c r="AD59" s="96" t="n"/>
      <c r="AE59" s="96" t="n"/>
      <c r="AF59" s="96" t="n"/>
      <c r="AG59" s="96" t="n"/>
      <c r="AH59" s="96" t="n"/>
      <c r="AI59" s="96" t="n"/>
      <c r="AJ59" s="96" t="n"/>
      <c r="AK59" s="96" t="n"/>
      <c r="AL59" s="96" t="n"/>
      <c r="AM59" s="96" t="n"/>
      <c r="AN59" s="96" t="n"/>
    </row>
    <row r="60">
      <c r="A60" s="96" t="n"/>
      <c r="B60" s="96" t="n"/>
      <c r="C60" s="96" t="n"/>
      <c r="D60" s="96" t="n"/>
      <c r="E60" s="96" t="n"/>
      <c r="F60" s="96" t="n"/>
      <c r="G60" s="96" t="n"/>
      <c r="H60" s="96" t="n"/>
      <c r="I60" s="96" t="n"/>
      <c r="J60" s="96" t="n"/>
      <c r="K60" s="96" t="n"/>
      <c r="L60" s="96" t="n"/>
      <c r="M60" s="96" t="n"/>
      <c r="N60" s="96" t="n"/>
      <c r="O60" s="96" t="n"/>
      <c r="P60" s="96" t="n"/>
      <c r="Q60" s="96" t="n"/>
      <c r="R60" s="96" t="n"/>
      <c r="S60" s="96" t="n"/>
      <c r="T60" s="96" t="n"/>
      <c r="U60" s="96" t="n"/>
      <c r="V60" s="96" t="n"/>
      <c r="W60" s="96" t="n"/>
      <c r="X60" s="96" t="n"/>
      <c r="Y60" s="96" t="n"/>
      <c r="Z60" s="96" t="n"/>
      <c r="AA60" s="96" t="n"/>
      <c r="AB60" s="96" t="n"/>
      <c r="AC60" s="96" t="n"/>
      <c r="AD60" s="96" t="n"/>
      <c r="AE60" s="96" t="n"/>
      <c r="AF60" s="96" t="n"/>
      <c r="AG60" s="96" t="n"/>
      <c r="AH60" s="96" t="n"/>
      <c r="AI60" s="96" t="n"/>
      <c r="AJ60" s="96" t="n"/>
      <c r="AK60" s="96" t="n"/>
      <c r="AL60" s="96" t="n"/>
      <c r="AM60" s="96" t="n"/>
      <c r="AN60" s="96" t="n"/>
    </row>
  </sheetData>
  <sheetProtection selectLockedCells="0" selectUnlockedCells="0" sheet="1" objects="0" insertRows="1" insertHyperlinks="1" autoFilter="1" scenarios="0" formatColumns="1" deleteColumns="1" insertColumns="1" pivotTables="1" deleteRows="1" formatCells="1" formatRows="1" sort="1"/>
  <mergeCells count="21">
    <mergeCell ref="A16:L16"/>
    <mergeCell ref="F5:H5"/>
    <mergeCell ref="B8:D8"/>
    <mergeCell ref="F8:H8"/>
    <mergeCell ref="J9:L9"/>
    <mergeCell ref="J4:L4"/>
    <mergeCell ref="B13:D13"/>
    <mergeCell ref="A2:L2"/>
    <mergeCell ref="F13:H13"/>
    <mergeCell ref="B9:D9"/>
    <mergeCell ref="F9:H9"/>
    <mergeCell ref="J12:L12"/>
    <mergeCell ref="B5:D5"/>
    <mergeCell ref="B4:D4"/>
    <mergeCell ref="F4:H4"/>
    <mergeCell ref="J8:L8"/>
    <mergeCell ref="B12:D12"/>
    <mergeCell ref="J5:L5"/>
    <mergeCell ref="J13:L13"/>
    <mergeCell ref="A1:L1"/>
    <mergeCell ref="F12:H1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2A4A"/>
    <outlinePr summaryBelow="1" summaryRight="1"/>
    <pageSetUpPr/>
  </sheetPr>
  <dimension ref="A1:C45"/>
  <sheetViews>
    <sheetView showGridLines="0" tabSelected="0" workbookViewId="0">
      <selection activeCell="A1" sqref="A1"/>
    </sheetView>
  </sheetViews>
  <sheetFormatPr baseColWidth="8" defaultRowHeight="15"/>
  <cols>
    <col width="3" customWidth="1" min="1" max="1"/>
    <col width="72" customWidth="1" min="2" max="2"/>
    <col width="3" customWidth="1" min="3" max="3"/>
  </cols>
  <sheetData>
    <row r="1" ht="38" customHeight="1">
      <c r="A1" s="93" t="inlineStr">
        <is>
          <t>MyClearBudget — Getting Started</t>
        </is>
      </c>
      <c r="C1" s="96" t="n"/>
    </row>
    <row r="2" ht="22" customHeight="1">
      <c r="A2" s="95" t="inlineStr">
        <is>
          <t>BRRRR Strategy Calculator — Read This First</t>
        </is>
      </c>
      <c r="C2" s="97" t="n"/>
    </row>
    <row r="3" ht="10" customHeight="1">
      <c r="A3" s="96" t="n"/>
      <c r="B3" s="97" t="n"/>
      <c r="C3" s="97" t="n"/>
    </row>
    <row r="4" ht="26" customHeight="1">
      <c r="A4" s="151" t="inlineStr">
        <is>
          <t xml:space="preserve">  What Is the BRRRR Strategy?</t>
        </is>
      </c>
      <c r="C4" s="97" t="n"/>
    </row>
    <row r="5" ht="72" customHeight="1">
      <c r="A5" s="152" t="inlineStr">
        <is>
          <t>BRRRR stands for Buy, Rehab, Rent, Refinance, Repeat. The strategy allows real estate investors to recycle their capital by purchasing distressed properties, renovating them to force appreciation, renting them for cash flow, and then refinancing to pull out most or all of their initial investment — then repeating the process with the same capital. Done correctly, you can build a rental portfolio with limited out-of-pocket capital.</t>
        </is>
      </c>
      <c r="C5" s="97" t="n"/>
    </row>
    <row r="6" ht="8" customHeight="1">
      <c r="A6" s="96" t="n"/>
      <c r="B6" s="97" t="n"/>
      <c r="C6" s="97" t="n"/>
    </row>
    <row r="7" ht="26" customHeight="1">
      <c r="A7" s="151" t="inlineStr">
        <is>
          <t xml:space="preserve">  How to Use This Calculator</t>
        </is>
      </c>
      <c r="C7" s="97" t="n"/>
    </row>
    <row r="8" ht="50" customHeight="1">
      <c r="A8" s="152" t="inlineStr">
        <is>
          <t>📌  Step 1 — Purchase &amp; Rehab
Enter your purchase price, closing costs, and renovation budget. This establishes your total cash invested.</t>
        </is>
      </c>
      <c r="C8" s="97" t="n"/>
    </row>
    <row r="9" ht="50" customHeight="1">
      <c r="A9" s="152" t="inlineStr">
        <is>
          <t>📌  Step 2 — Rental Income &amp; Expenses
Enter projected monthly rents and all operating expenses. The calculator handles vacancy and auto-calculates totals.</t>
        </is>
      </c>
      <c r="C9" s="97" t="n"/>
    </row>
    <row r="10" ht="50" customHeight="1">
      <c r="A10" s="152" t="inlineStr">
        <is>
          <t>📌  Step 3 — Refinance Analysis
Enter your After Repair Value, lender LTV, interest rate, and loan term. The calculator shows how much capital you recover.</t>
        </is>
      </c>
      <c r="C10" s="97" t="n"/>
    </row>
    <row r="11" ht="50" customHeight="1">
      <c r="A11" s="152" t="inlineStr">
        <is>
          <t>📌  Step 4 — Cash Flow Analysis
All values pull automatically from Steps 1–3. Review your monthly cash flow, annual returns, and DSCR. Nothing to enter here.</t>
        </is>
      </c>
      <c r="C11" s="97" t="n"/>
    </row>
    <row r="12" ht="50" customHeight="1">
      <c r="A12" s="152" t="inlineStr">
        <is>
          <t>📌  Step 5 — BRRRR Scorecard
Get a pass/fail verdict on every key metric. See at a glance whether this is a deal worth pursuing.</t>
        </is>
      </c>
      <c r="C12" s="97" t="n"/>
    </row>
    <row r="13" ht="50" customHeight="1">
      <c r="A13" s="152" t="inlineStr">
        <is>
          <t>📌  Step 6 — Dashboard
All KPI cards and the chart update automatically as you enter data. Return here to see the full picture.</t>
        </is>
      </c>
      <c r="C13" s="97" t="n"/>
    </row>
    <row r="14" ht="8" customHeight="1">
      <c r="A14" s="96" t="n"/>
      <c r="B14" s="97" t="n"/>
      <c r="C14" s="97" t="n"/>
    </row>
    <row r="15" ht="26" customHeight="1">
      <c r="A15" s="151" t="inlineStr">
        <is>
          <t xml:space="preserve">  Color Guide</t>
        </is>
      </c>
      <c r="C15" s="97" t="n"/>
    </row>
    <row r="16" ht="32" customHeight="1">
      <c r="A16" s="152" t="inlineStr">
        <is>
          <t>🟡  Yellow cells — Enter your inputs here. These are the only cells you should type in.</t>
        </is>
      </c>
      <c r="C16" s="97" t="n"/>
    </row>
    <row r="17" ht="32" customHeight="1">
      <c r="A17" s="152" t="inlineStr">
        <is>
          <t>🔵  Blue cells — Auto-calculated from your inputs. Do not edit these cells.</t>
        </is>
      </c>
      <c r="C17" s="97" t="n"/>
    </row>
    <row r="18" ht="32" customHeight="1">
      <c r="A18" s="152" t="inlineStr">
        <is>
          <t>🟦  Navy background rows — Section headers and key output totals.</t>
        </is>
      </c>
      <c r="C18" s="97" t="n"/>
    </row>
    <row r="19" ht="32" customHeight="1">
      <c r="A19" s="152" t="inlineStr">
        <is>
          <t>🟢  Green — Positive result or passing metric on the scorecard.</t>
        </is>
      </c>
      <c r="C19" s="97" t="n"/>
    </row>
    <row r="20" ht="32" customHeight="1">
      <c r="A20" s="152" t="inlineStr">
        <is>
          <t>🔴  Red — Negative result or failing metric. Review your inputs.</t>
        </is>
      </c>
      <c r="C20" s="97" t="n"/>
    </row>
    <row r="21" ht="8" customHeight="1">
      <c r="A21" s="96" t="n"/>
      <c r="B21" s="97" t="n"/>
      <c r="C21" s="97" t="n"/>
    </row>
    <row r="22" ht="26" customHeight="1">
      <c r="A22" s="151" t="inlineStr">
        <is>
          <t xml:space="preserve">  Key Concepts</t>
        </is>
      </c>
      <c r="C22" s="97" t="n"/>
    </row>
    <row r="23" ht="52" customHeight="1">
      <c r="A23" s="152" t="inlineStr">
        <is>
          <t>After Repair Value (ARV)
The estimated market value of the property after all renovations are complete. This is the basis for your refinance loan amount.</t>
        </is>
      </c>
      <c r="C23" s="97" t="n"/>
    </row>
    <row r="24" ht="52" customHeight="1">
      <c r="A24" s="152" t="inlineStr">
        <is>
          <t>Cash-on-Cash Return
Annual cash flow divided by the cash you have remaining in the deal after refinancing. If you pulled out all your capital, this is mathematically infinite — the goal of BRRRR.</t>
        </is>
      </c>
      <c r="C24" s="97" t="n"/>
    </row>
    <row r="25" ht="52" customHeight="1">
      <c r="A25" s="152" t="inlineStr">
        <is>
          <t>DSCR (Debt Service Coverage Ratio)
Monthly rental income divided by your monthly mortgage payment. Lenders want to see this above 1.25. Below 1.0 means the property cannot cover its own debt.</t>
        </is>
      </c>
      <c r="C25" s="97" t="n"/>
    </row>
    <row r="26" ht="52" customHeight="1">
      <c r="A26" s="152" t="inlineStr">
        <is>
          <t>Infinite Return
When the cash recovered at refinance equals or exceeds your total investment, you have zero capital remaining in the deal. Any return earned is technically infinite.</t>
        </is>
      </c>
      <c r="C26" s="97" t="n"/>
    </row>
    <row r="27" ht="8" customHeight="1">
      <c r="A27" s="96" t="n"/>
      <c r="B27" s="97" t="n"/>
      <c r="C27" s="97" t="n"/>
    </row>
    <row r="28" ht="26" customHeight="1">
      <c r="A28" s="151" t="inlineStr">
        <is>
          <t xml:space="preserve">  ⚠️  Important Disclaimers</t>
        </is>
      </c>
      <c r="C28" s="97" t="n"/>
    </row>
    <row r="29" ht="72" customHeight="1">
      <c r="A29" s="152" t="inlineStr">
        <is>
          <t>This calculator is for educational and estimation purposes only. Always consult a licensed real estate professional, lender, and CPA before making investment decisions. Market conditions, lender requirements, and local regulations vary significantly. The assumptions in this calculator may not reflect your specific market or situation.</t>
        </is>
      </c>
      <c r="C29" s="97" t="n"/>
    </row>
    <row r="30" ht="18" customHeight="1">
      <c r="A30" s="96" t="n"/>
      <c r="B30" s="97" t="n"/>
      <c r="C30" s="97" t="n"/>
    </row>
    <row r="31" ht="18" customHeight="1">
      <c r="A31" s="96" t="n"/>
      <c r="B31" s="97" t="n"/>
      <c r="C31" s="97" t="n"/>
    </row>
    <row r="32" ht="18" customHeight="1">
      <c r="A32" s="96" t="n"/>
      <c r="B32" s="97" t="n"/>
      <c r="C32" s="97" t="n"/>
    </row>
    <row r="33" ht="18" customHeight="1">
      <c r="A33" s="96" t="n"/>
      <c r="B33" s="97" t="n"/>
      <c r="C33" s="97" t="n"/>
    </row>
    <row r="34" ht="10" customHeight="1">
      <c r="A34" s="96" t="n"/>
      <c r="B34" s="97" t="n"/>
      <c r="C34" s="97" t="n"/>
    </row>
    <row r="35" ht="22" customHeight="1">
      <c r="A35" s="96" t="n"/>
      <c r="B35" s="97" t="n"/>
      <c r="C35" s="97" t="n"/>
    </row>
    <row r="36" ht="18" customHeight="1">
      <c r="A36" s="96" t="n"/>
      <c r="B36" s="97" t="n"/>
      <c r="C36" s="97" t="n"/>
    </row>
    <row r="37" ht="18" customHeight="1">
      <c r="A37" s="96" t="n"/>
      <c r="B37" s="97" t="n"/>
      <c r="C37" s="97" t="n"/>
    </row>
    <row r="38" ht="18" customHeight="1">
      <c r="A38" s="96" t="n"/>
      <c r="B38" s="97" t="n"/>
      <c r="C38" s="97" t="n"/>
    </row>
    <row r="39" ht="18" customHeight="1">
      <c r="A39" s="96" t="n"/>
      <c r="B39" s="97" t="n"/>
      <c r="C39" s="97" t="n"/>
    </row>
    <row r="40" ht="18" customHeight="1">
      <c r="A40" s="96" t="n"/>
      <c r="B40" s="97" t="n"/>
      <c r="C40" s="97" t="n"/>
    </row>
    <row r="41" ht="18" customHeight="1">
      <c r="A41" s="96" t="n"/>
      <c r="B41" s="97" t="n"/>
      <c r="C41" s="97" t="n"/>
    </row>
    <row r="42" ht="10" customHeight="1">
      <c r="A42" s="96" t="n"/>
      <c r="B42" s="97" t="n"/>
      <c r="C42" s="97" t="n"/>
    </row>
    <row r="43" ht="22" customHeight="1">
      <c r="A43" s="96" t="n"/>
      <c r="B43" s="97" t="n"/>
      <c r="C43" s="97" t="n"/>
    </row>
    <row r="44" ht="18" customHeight="1">
      <c r="A44" s="96" t="n"/>
      <c r="B44" s="97" t="n"/>
      <c r="C44" s="97" t="n"/>
    </row>
    <row r="45" ht="18" customHeight="1">
      <c r="A45" s="96" t="n"/>
      <c r="B45" s="97" t="n"/>
      <c r="C45" s="97" t="n"/>
    </row>
  </sheetData>
  <sheetProtection selectLockedCells="0" selectUnlockedCells="0" sheet="1" objects="0" insertRows="1" insertHyperlinks="1" autoFilter="1" scenarios="0" formatColumns="1" deleteColumns="1" insertColumns="1" pivotTables="1" deleteRows="1" formatCells="1" formatRows="1" sort="1"/>
  <mergeCells count="24">
    <mergeCell ref="A24:B24"/>
    <mergeCell ref="A15:B15"/>
    <mergeCell ref="A11:B11"/>
    <mergeCell ref="A1:B1"/>
    <mergeCell ref="A16:B16"/>
    <mergeCell ref="A7:B7"/>
    <mergeCell ref="A25:B25"/>
    <mergeCell ref="A18:B18"/>
    <mergeCell ref="A12:B12"/>
    <mergeCell ref="A26:B26"/>
    <mergeCell ref="A2:B2"/>
    <mergeCell ref="A5:B5"/>
    <mergeCell ref="A23:B23"/>
    <mergeCell ref="A17:B17"/>
    <mergeCell ref="A8:B8"/>
    <mergeCell ref="A22:B22"/>
    <mergeCell ref="A4:B4"/>
    <mergeCell ref="A20:B20"/>
    <mergeCell ref="A29:B29"/>
    <mergeCell ref="A19:B19"/>
    <mergeCell ref="A10:B10"/>
    <mergeCell ref="A28:B28"/>
    <mergeCell ref="A13:B13"/>
    <mergeCell ref="A9:B9"/>
  </mergeCells>
  <pageMargins left="0.75" right="0.75" top="1" bottom="1" header="0.5" footer="0.5"/>
</worksheet>
</file>

<file path=xl/worksheets/sheet3.xml><?xml version="1.0" encoding="utf-8"?>
<worksheet xmlns="http://schemas.openxmlformats.org/spreadsheetml/2006/main">
  <sheetPr>
    <tabColor rgb="004472C4"/>
    <outlinePr summaryBelow="1" summaryRight="1"/>
    <pageSetUpPr/>
  </sheetPr>
  <dimension ref="A1:H24"/>
  <sheetViews>
    <sheetView showGridLines="0" tabSelected="0" workbookViewId="0">
      <selection activeCell="A1" sqref="A1"/>
    </sheetView>
  </sheetViews>
  <sheetFormatPr baseColWidth="8" defaultRowHeight="15"/>
  <cols>
    <col width="2" customWidth="1" min="1" max="1"/>
    <col width="30" customWidth="1" min="2" max="2"/>
    <col width="7" customWidth="1" min="3" max="3"/>
    <col width="15" customWidth="1" min="4" max="4"/>
    <col width="4" customWidth="1" min="5" max="5"/>
    <col width="28" customWidth="1" min="6" max="6"/>
    <col width="2" customWidth="1" min="7" max="7"/>
  </cols>
  <sheetData>
    <row r="1" ht="38" customHeight="1">
      <c r="A1" s="93" t="inlineStr">
        <is>
          <t>MyClearBudget — Purchase &amp; Rehab</t>
        </is>
      </c>
      <c r="G1" s="96" t="n"/>
    </row>
    <row r="2" ht="22" customHeight="1">
      <c r="A2" s="95" t="inlineStr">
        <is>
          <t>BRRRR Strategy Calculator — Step 1: What did you buy and invest?</t>
        </is>
      </c>
      <c r="G2" s="96" t="n"/>
    </row>
    <row r="3" ht="8" customHeight="1">
      <c r="A3" s="96" t="n"/>
      <c r="B3" s="97" t="n"/>
      <c r="C3" s="96" t="n"/>
      <c r="D3" s="96" t="n"/>
      <c r="E3" s="96" t="n"/>
      <c r="F3" s="96" t="n"/>
      <c r="G3" s="96" t="n"/>
    </row>
    <row r="4" ht="18" customHeight="1">
      <c r="A4" s="107" t="inlineStr">
        <is>
          <t xml:space="preserve">  ✏️  Yellow cells = your inputs.  🔵  Blue cells = auto-calculated.</t>
        </is>
      </c>
      <c r="G4" s="97" t="n"/>
    </row>
    <row r="5" ht="8" customHeight="1">
      <c r="A5" s="96" t="n"/>
      <c r="B5" s="97" t="n"/>
      <c r="C5" s="96" t="n"/>
      <c r="D5" s="96" t="n"/>
      <c r="E5" s="96" t="n"/>
      <c r="F5" s="96" t="n"/>
      <c r="G5" s="97" t="n"/>
    </row>
    <row r="6" ht="24" customHeight="1">
      <c r="A6" s="108" t="inlineStr">
        <is>
          <t xml:space="preserve">  ACQUISITION COSTS</t>
        </is>
      </c>
      <c r="G6" s="96" t="n"/>
    </row>
    <row r="7" ht="22" customHeight="1">
      <c r="A7" s="96" t="n"/>
      <c r="B7" s="109" t="inlineStr">
        <is>
          <t>Purchase Price</t>
        </is>
      </c>
      <c r="C7" s="110" t="n">
        <v>85000</v>
      </c>
      <c r="D7" s="148" t="n"/>
      <c r="E7" s="153" t="inlineStr">
        <is>
          <t>The price you paid for the property</t>
        </is>
      </c>
      <c r="F7" s="54" t="n"/>
      <c r="G7" s="54" t="n"/>
      <c r="H7" s="54" t="n"/>
    </row>
    <row r="8" ht="22" customHeight="1">
      <c r="A8" s="96" t="n"/>
      <c r="B8" s="109" t="inlineStr">
        <is>
          <t>Purchase Closing Costs</t>
        </is>
      </c>
      <c r="C8" s="110" t="n">
        <v>2500</v>
      </c>
      <c r="D8" s="148" t="n"/>
      <c r="E8" s="153" t="inlineStr">
        <is>
          <t>Title, escrow, lender fees, etc.</t>
        </is>
      </c>
      <c r="F8" s="54" t="n"/>
      <c r="G8" s="54" t="n"/>
      <c r="H8" s="54" t="n"/>
    </row>
    <row r="9" ht="22" customHeight="1">
      <c r="A9" s="96" t="n"/>
      <c r="B9" s="109" t="inlineStr">
        <is>
          <t>Total Acquisition Cost</t>
        </is>
      </c>
      <c r="C9" s="112">
        <f>C7+C8</f>
        <v/>
      </c>
      <c r="D9" s="148" t="n"/>
      <c r="E9" s="153" t="inlineStr">
        <is>
          <t>Auto-calculated</t>
        </is>
      </c>
      <c r="F9" s="54" t="n"/>
      <c r="G9" s="54" t="n"/>
      <c r="H9" s="54" t="n"/>
    </row>
    <row r="10" ht="8" customHeight="1">
      <c r="A10" s="96" t="n"/>
      <c r="B10" s="97" t="n"/>
      <c r="C10" s="96" t="n"/>
      <c r="D10" s="96" t="n"/>
      <c r="E10" s="96" t="n"/>
      <c r="F10" s="96" t="n"/>
      <c r="G10" s="97" t="n"/>
    </row>
    <row r="11" ht="24" customHeight="1">
      <c r="A11" s="108" t="inlineStr">
        <is>
          <t xml:space="preserve">  REHAB &amp; RENOVATION</t>
        </is>
      </c>
      <c r="G11" s="96" t="n"/>
    </row>
    <row r="12" ht="22" customHeight="1">
      <c r="A12" s="96" t="n"/>
      <c r="B12" s="109" t="inlineStr">
        <is>
          <t>Rehab / Renovation Budget</t>
        </is>
      </c>
      <c r="C12" s="110" t="n">
        <v>22000</v>
      </c>
      <c r="D12" s="148" t="n"/>
      <c r="E12" s="153" t="inlineStr">
        <is>
          <t>Total estimated renovation costs</t>
        </is>
      </c>
      <c r="F12" s="54" t="n"/>
      <c r="G12" s="54" t="n"/>
      <c r="H12" s="54" t="n"/>
    </row>
    <row r="13" ht="22" customHeight="1">
      <c r="A13" s="96" t="n"/>
      <c r="B13" s="109" t="inlineStr">
        <is>
          <t>Contingency %</t>
        </is>
      </c>
      <c r="C13" s="113" t="n">
        <v>0.1</v>
      </c>
      <c r="D13" s="148" t="n"/>
      <c r="E13" s="153" t="inlineStr">
        <is>
          <t>10% buffer recommended for overruns</t>
        </is>
      </c>
      <c r="F13" s="54" t="n"/>
      <c r="G13" s="54" t="n"/>
      <c r="H13" s="54" t="n"/>
    </row>
    <row r="14" ht="22" customHeight="1">
      <c r="A14" s="96" t="n"/>
      <c r="B14" s="109" t="inlineStr">
        <is>
          <t>Contingency Amount</t>
        </is>
      </c>
      <c r="C14" s="114">
        <f>C12*C13</f>
        <v/>
      </c>
      <c r="D14" s="148" t="n"/>
      <c r="E14" s="153" t="inlineStr">
        <is>
          <t>Auto-calculated</t>
        </is>
      </c>
      <c r="F14" s="54" t="n"/>
      <c r="G14" s="54" t="n"/>
      <c r="H14" s="54" t="n"/>
    </row>
    <row r="15" ht="22" customHeight="1">
      <c r="A15" s="96" t="n"/>
      <c r="B15" s="109" t="inlineStr">
        <is>
          <t>Total Rehab Cost</t>
        </is>
      </c>
      <c r="C15" s="112">
        <f>C12+C14</f>
        <v/>
      </c>
      <c r="D15" s="148" t="n"/>
      <c r="E15" s="153" t="inlineStr">
        <is>
          <t>Budget + contingency</t>
        </is>
      </c>
      <c r="F15" s="54" t="n"/>
      <c r="G15" s="54" t="n"/>
      <c r="H15" s="54" t="n"/>
    </row>
    <row r="16" ht="8" customHeight="1">
      <c r="A16" s="96" t="n"/>
      <c r="B16" s="97" t="n"/>
      <c r="C16" s="96" t="n"/>
      <c r="D16" s="96" t="n"/>
      <c r="E16" s="96" t="n"/>
      <c r="F16" s="96" t="n"/>
      <c r="G16" s="97" t="n"/>
    </row>
    <row r="17" ht="24" customHeight="1">
      <c r="A17" s="108" t="inlineStr">
        <is>
          <t xml:space="preserve">  TOTAL INVESTMENT</t>
        </is>
      </c>
      <c r="G17" s="96" t="n"/>
    </row>
    <row r="18" ht="22" customHeight="1">
      <c r="A18" s="96" t="n"/>
      <c r="B18" s="109" t="inlineStr">
        <is>
          <t>Total Cash Invested</t>
        </is>
      </c>
      <c r="C18" s="115">
        <f>C9+C15</f>
        <v/>
      </c>
      <c r="D18" s="148" t="n"/>
      <c r="E18" s="153" t="inlineStr">
        <is>
          <t>Acquisition + Rehab</t>
        </is>
      </c>
      <c r="F18" s="54" t="n"/>
      <c r="G18" s="54" t="n"/>
      <c r="H18" s="54" t="n"/>
    </row>
    <row r="19" ht="20" customHeight="1">
      <c r="A19" s="96" t="n"/>
      <c r="B19" s="97" t="n"/>
      <c r="C19" s="97" t="n"/>
      <c r="D19" s="102" t="n"/>
      <c r="E19" s="97" t="n"/>
      <c r="F19" s="97" t="n"/>
      <c r="G19" s="97" t="n"/>
    </row>
    <row r="20" ht="20" customHeight="1">
      <c r="A20" s="96" t="n"/>
      <c r="B20" s="97" t="n"/>
      <c r="C20" s="97" t="n"/>
      <c r="D20" s="116" t="n"/>
      <c r="E20" s="97" t="n"/>
      <c r="F20" s="97" t="n"/>
      <c r="G20" s="97" t="n"/>
    </row>
    <row r="21" ht="20" customHeight="1">
      <c r="A21" s="96" t="n"/>
      <c r="B21" s="97" t="n"/>
      <c r="C21" s="97" t="n"/>
      <c r="D21" s="117" t="n"/>
      <c r="E21" s="97" t="n"/>
      <c r="F21" s="97" t="n"/>
      <c r="G21" s="97" t="n"/>
    </row>
    <row r="22" ht="20" customHeight="1">
      <c r="A22" s="96" t="n"/>
      <c r="B22" s="97" t="n"/>
      <c r="C22" s="97" t="n"/>
      <c r="D22" s="102" t="n"/>
      <c r="E22" s="97" t="n"/>
      <c r="F22" s="97" t="n"/>
      <c r="G22" s="97" t="n"/>
    </row>
    <row r="23" ht="10" customHeight="1">
      <c r="A23" s="96" t="n"/>
      <c r="B23" s="97" t="n"/>
      <c r="C23" s="97" t="n"/>
      <c r="D23" s="97" t="n"/>
      <c r="E23" s="97" t="n"/>
      <c r="F23" s="97" t="n"/>
      <c r="G23" s="97" t="n"/>
    </row>
    <row r="24" ht="24" customHeight="1">
      <c r="A24" s="96" t="n"/>
      <c r="B24" s="97" t="n"/>
      <c r="C24" s="96" t="n"/>
      <c r="D24" s="96" t="n"/>
      <c r="E24" s="102" t="n"/>
      <c r="F24" s="97" t="n"/>
      <c r="G24" s="97" t="n"/>
    </row>
  </sheetData>
  <sheetProtection selectLockedCells="0" selectUnlockedCells="0" sheet="1" objects="0" insertRows="1" insertHyperlinks="1" autoFilter="1" scenarios="0" formatColumns="1" deleteColumns="1" insertColumns="1" pivotTables="1" deleteRows="1" formatCells="1" formatRows="1" sort="1"/>
  <mergeCells count="22">
    <mergeCell ref="C15:D15"/>
    <mergeCell ref="C14:D14"/>
    <mergeCell ref="E7:H7"/>
    <mergeCell ref="A2:F2"/>
    <mergeCell ref="E18:H18"/>
    <mergeCell ref="E12:H12"/>
    <mergeCell ref="A17:F17"/>
    <mergeCell ref="A4:F4"/>
    <mergeCell ref="C9:D9"/>
    <mergeCell ref="E14:H14"/>
    <mergeCell ref="C12:D12"/>
    <mergeCell ref="E8:H8"/>
    <mergeCell ref="C8:D8"/>
    <mergeCell ref="E13:H13"/>
    <mergeCell ref="A11:F11"/>
    <mergeCell ref="E9:H9"/>
    <mergeCell ref="C7:D7"/>
    <mergeCell ref="A1:F1"/>
    <mergeCell ref="A6:F6"/>
    <mergeCell ref="E15:H15"/>
    <mergeCell ref="C13:D13"/>
    <mergeCell ref="C18:D18"/>
  </mergeCells>
  <pageMargins left="0.75" right="0.75" top="1" bottom="1" header="0.5" footer="0.5"/>
</worksheet>
</file>

<file path=xl/worksheets/sheet4.xml><?xml version="1.0" encoding="utf-8"?>
<worksheet xmlns="http://schemas.openxmlformats.org/spreadsheetml/2006/main">
  <sheetPr>
    <tabColor rgb="004472C4"/>
    <outlinePr summaryBelow="1" summaryRight="1"/>
    <pageSetUpPr/>
  </sheetPr>
  <dimension ref="A1:H29"/>
  <sheetViews>
    <sheetView showGridLines="0" tabSelected="0" workbookViewId="0">
      <selection activeCell="A1" sqref="A1"/>
    </sheetView>
  </sheetViews>
  <sheetFormatPr baseColWidth="8" defaultRowHeight="15"/>
  <cols>
    <col width="2" customWidth="1" min="1" max="1"/>
    <col width="30" customWidth="1" min="2" max="2"/>
    <col width="7" customWidth="1" min="3" max="3"/>
    <col width="15" customWidth="1" min="4" max="4"/>
    <col width="4" customWidth="1" min="5" max="5"/>
    <col width="28" customWidth="1" min="6" max="6"/>
    <col width="2" customWidth="1" min="7" max="7"/>
  </cols>
  <sheetData>
    <row r="1" ht="38" customHeight="1">
      <c r="A1" s="93" t="inlineStr">
        <is>
          <t>MyClearBudget — Rental Income &amp; Expenses</t>
        </is>
      </c>
      <c r="G1" s="96" t="n"/>
    </row>
    <row r="2" ht="22" customHeight="1">
      <c r="A2" s="95" t="inlineStr">
        <is>
          <t>BRRRR Strategy Calculator — Step 2: What will the property generate?</t>
        </is>
      </c>
      <c r="G2" s="96" t="n"/>
    </row>
    <row r="3" ht="8" customHeight="1">
      <c r="A3" s="96" t="n"/>
      <c r="B3" s="97" t="n"/>
      <c r="C3" s="96" t="n"/>
      <c r="D3" s="96" t="n"/>
      <c r="E3" s="96" t="n"/>
      <c r="F3" s="96" t="n"/>
      <c r="G3" s="96" t="n"/>
    </row>
    <row r="4" ht="18" customHeight="1">
      <c r="A4" s="107" t="inlineStr">
        <is>
          <t xml:space="preserve">  ✏️  Yellow cells = your inputs.  🔵  Blue cells = auto-calculated.</t>
        </is>
      </c>
      <c r="G4" s="97" t="n"/>
    </row>
    <row r="5" ht="8" customHeight="1">
      <c r="A5" s="96" t="n"/>
      <c r="B5" s="97" t="n"/>
      <c r="C5" s="96" t="n"/>
      <c r="D5" s="96" t="n"/>
      <c r="E5" s="96" t="n"/>
      <c r="F5" s="96" t="n"/>
      <c r="G5" s="97" t="n"/>
    </row>
    <row r="6" ht="24" customHeight="1">
      <c r="A6" s="108" t="inlineStr">
        <is>
          <t xml:space="preserve">  RENTAL INCOME</t>
        </is>
      </c>
      <c r="G6" s="96" t="n"/>
    </row>
    <row r="7" ht="22" customHeight="1">
      <c r="A7" s="96" t="n"/>
      <c r="B7" s="109" t="inlineStr">
        <is>
          <t>Monthly Gross Rent</t>
        </is>
      </c>
      <c r="C7" s="110" t="n">
        <v>1800</v>
      </c>
      <c r="D7" s="148" t="n"/>
      <c r="E7" s="153" t="inlineStr">
        <is>
          <t>Full market rent (before vacancy)</t>
        </is>
      </c>
      <c r="F7" s="54" t="n"/>
      <c r="G7" s="54" t="n"/>
      <c r="H7" s="54" t="n"/>
    </row>
    <row r="8" ht="22" customHeight="1">
      <c r="A8" s="96" t="n"/>
      <c r="B8" s="109" t="inlineStr">
        <is>
          <t>Vacancy Rate %</t>
        </is>
      </c>
      <c r="C8" s="113" t="n">
        <v>0.05</v>
      </c>
      <c r="D8" s="148" t="n"/>
      <c r="E8" s="153" t="inlineStr">
        <is>
          <t>5-10% standard for most markets</t>
        </is>
      </c>
      <c r="F8" s="54" t="n"/>
      <c r="G8" s="54" t="n"/>
      <c r="H8" s="54" t="n"/>
    </row>
    <row r="9" ht="22" customHeight="1">
      <c r="A9" s="96" t="n"/>
      <c r="B9" s="109" t="inlineStr">
        <is>
          <t>Effective Gross Income/Mo</t>
        </is>
      </c>
      <c r="C9" s="112">
        <f>C7*(1-C8)</f>
        <v/>
      </c>
      <c r="D9" s="148" t="n"/>
      <c r="E9" s="153" t="inlineStr">
        <is>
          <t>Gross rent minus vacancy adjustment</t>
        </is>
      </c>
      <c r="F9" s="54" t="n"/>
      <c r="G9" s="54" t="n"/>
      <c r="H9" s="54" t="n"/>
    </row>
    <row r="10" ht="8" customHeight="1">
      <c r="A10" s="96" t="n"/>
      <c r="B10" s="97" t="n"/>
      <c r="C10" s="97" t="n"/>
      <c r="D10" s="97" t="n"/>
      <c r="E10" s="97" t="n"/>
      <c r="F10" s="97" t="n"/>
      <c r="G10" s="97" t="n"/>
    </row>
    <row r="11" ht="24" customHeight="1">
      <c r="A11" s="108" t="inlineStr">
        <is>
          <t xml:space="preserve">  MONTHLY OPERATING EXPENSES</t>
        </is>
      </c>
      <c r="G11" s="97" t="n"/>
    </row>
    <row r="12" ht="22" customHeight="1">
      <c r="A12" s="96" t="n"/>
      <c r="B12" s="109" t="inlineStr">
        <is>
          <t>Property Management %</t>
        </is>
      </c>
      <c r="C12" s="118" t="n">
        <v>0.08</v>
      </c>
      <c r="D12" s="150" t="n"/>
      <c r="E12" s="119" t="inlineStr">
        <is>
          <t>8% of gross rent (standard)</t>
        </is>
      </c>
    </row>
    <row r="13" ht="22" customHeight="1">
      <c r="A13" s="96" t="n"/>
      <c r="B13" s="109" t="inlineStr">
        <is>
          <t>Property Management $</t>
        </is>
      </c>
      <c r="C13" s="114">
        <f>C7*C12</f>
        <v/>
      </c>
      <c r="D13" s="148" t="n"/>
      <c r="E13" s="153" t="inlineStr">
        <is>
          <t>Auto-calculated</t>
        </is>
      </c>
      <c r="F13" s="54" t="n"/>
      <c r="G13" s="54" t="n"/>
      <c r="H13" s="54" t="n"/>
    </row>
    <row r="14" ht="22" customHeight="1">
      <c r="A14" s="96" t="n"/>
      <c r="B14" s="109" t="inlineStr">
        <is>
          <t>Property Taxes / Mo</t>
        </is>
      </c>
      <c r="C14" s="110" t="n">
        <v>200</v>
      </c>
      <c r="D14" s="148" t="n"/>
      <c r="E14" s="153" t="inlineStr">
        <is>
          <t>Annual taxes ÷ 12</t>
        </is>
      </c>
      <c r="F14" s="54" t="n"/>
      <c r="G14" s="54" t="n"/>
      <c r="H14" s="54" t="n"/>
    </row>
    <row r="15" ht="22" customHeight="1">
      <c r="A15" s="96" t="n"/>
      <c r="B15" s="109" t="inlineStr">
        <is>
          <t>Insurance / Mo</t>
        </is>
      </c>
      <c r="C15" s="110" t="n">
        <v>100</v>
      </c>
      <c r="D15" s="148" t="n"/>
      <c r="E15" s="153" t="inlineStr">
        <is>
          <t>Annual insurance ÷ 12</t>
        </is>
      </c>
      <c r="F15" s="54" t="n"/>
      <c r="G15" s="54" t="n"/>
      <c r="H15" s="54" t="n"/>
    </row>
    <row r="16" ht="22" customHeight="1">
      <c r="A16" s="96" t="n"/>
      <c r="B16" s="109" t="inlineStr">
        <is>
          <t>Maintenance Reserve %</t>
        </is>
      </c>
      <c r="C16" s="113" t="n">
        <v>0.05</v>
      </c>
      <c r="D16" s="148" t="n"/>
      <c r="E16" s="153" t="inlineStr">
        <is>
          <t>5% of gross rent recommended</t>
        </is>
      </c>
      <c r="F16" s="54" t="n"/>
      <c r="G16" s="54" t="n"/>
      <c r="H16" s="54" t="n"/>
    </row>
    <row r="17" ht="22" customHeight="1">
      <c r="A17" s="96" t="n"/>
      <c r="B17" s="109" t="inlineStr">
        <is>
          <t>Maintenance Reserve $</t>
        </is>
      </c>
      <c r="C17" s="114">
        <f>C7*C16</f>
        <v/>
      </c>
      <c r="D17" s="148" t="n"/>
      <c r="E17" s="153" t="inlineStr">
        <is>
          <t>Auto-calculated</t>
        </is>
      </c>
      <c r="F17" s="54" t="n"/>
      <c r="G17" s="54" t="n"/>
      <c r="H17" s="54" t="n"/>
    </row>
    <row r="18" ht="22" customHeight="1">
      <c r="A18" s="96" t="n"/>
      <c r="B18" s="109" t="inlineStr">
        <is>
          <t>CapEx Reserve %</t>
        </is>
      </c>
      <c r="C18" s="113" t="n">
        <v>0.05</v>
      </c>
      <c r="D18" s="148" t="n"/>
      <c r="E18" s="153" t="inlineStr">
        <is>
          <t>5% of gross rent for capital reserves</t>
        </is>
      </c>
      <c r="F18" s="54" t="n"/>
      <c r="G18" s="54" t="n"/>
      <c r="H18" s="54" t="n"/>
    </row>
    <row r="19" ht="22" customHeight="1">
      <c r="A19" s="96" t="n"/>
      <c r="B19" s="109" t="inlineStr">
        <is>
          <t>CapEx Reserve $</t>
        </is>
      </c>
      <c r="C19" s="114">
        <f>C7*C18</f>
        <v/>
      </c>
      <c r="D19" s="148" t="n"/>
      <c r="E19" s="153" t="inlineStr">
        <is>
          <t>Auto-calculated</t>
        </is>
      </c>
      <c r="F19" s="54" t="n"/>
      <c r="G19" s="54" t="n"/>
      <c r="H19" s="54" t="n"/>
    </row>
    <row r="20" ht="22" customHeight="1">
      <c r="A20" s="96" t="n"/>
      <c r="B20" s="109" t="inlineStr">
        <is>
          <t>Other Expenses / Mo</t>
        </is>
      </c>
      <c r="C20" s="110" t="n">
        <v>0</v>
      </c>
      <c r="D20" s="148" t="n"/>
      <c r="E20" s="153" t="inlineStr">
        <is>
          <t>Utilities, HOA, other costs</t>
        </is>
      </c>
      <c r="F20" s="54" t="n"/>
      <c r="G20" s="54" t="n"/>
      <c r="H20" s="54" t="n"/>
    </row>
    <row r="21" ht="8" customHeight="1">
      <c r="A21" s="96" t="n"/>
      <c r="B21" s="97" t="n"/>
      <c r="C21" s="97" t="n"/>
      <c r="D21" s="102" t="n"/>
      <c r="E21" s="97" t="n"/>
      <c r="F21" s="97" t="n"/>
      <c r="G21" s="97" t="n"/>
    </row>
    <row r="22" ht="24" customHeight="1">
      <c r="A22" s="108" t="inlineStr">
        <is>
          <t xml:space="preserve">  TOTALS</t>
        </is>
      </c>
      <c r="G22" s="97" t="n"/>
    </row>
    <row r="23" ht="22" customHeight="1">
      <c r="A23" s="96" t="n"/>
      <c r="B23" s="109" t="inlineStr">
        <is>
          <t>Total Monthly Expenses</t>
        </is>
      </c>
      <c r="C23" s="112">
        <f>C13+C14+C15+C17+C19+C20</f>
        <v/>
      </c>
      <c r="D23" s="148" t="n"/>
      <c r="E23" s="153" t="inlineStr">
        <is>
          <t>Sum of all operating expenses</t>
        </is>
      </c>
      <c r="F23" s="54" t="n"/>
      <c r="G23" s="54" t="n"/>
      <c r="H23" s="54" t="n"/>
    </row>
    <row r="24" ht="22" customHeight="1">
      <c r="A24" s="96" t="n"/>
      <c r="B24" s="109" t="inlineStr">
        <is>
          <t>Net Operating Income/Mo</t>
        </is>
      </c>
      <c r="C24" s="115">
        <f>C9-C23</f>
        <v/>
      </c>
      <c r="D24" s="148" t="n"/>
      <c r="E24" s="153" t="inlineStr">
        <is>
          <t>EGI minus total expenses</t>
        </is>
      </c>
      <c r="F24" s="54" t="n"/>
      <c r="G24" s="54" t="n"/>
      <c r="H24" s="54" t="n"/>
    </row>
    <row r="25" ht="8" customHeight="1">
      <c r="A25" s="96" t="n"/>
      <c r="B25" s="97" t="n"/>
      <c r="C25" s="97" t="n"/>
      <c r="D25" s="97" t="n"/>
      <c r="E25" s="97" t="n"/>
      <c r="F25" s="97" t="n"/>
      <c r="G25" s="97" t="n"/>
    </row>
    <row r="26" ht="22" customHeight="1">
      <c r="A26" s="96" t="n"/>
      <c r="B26" s="97" t="n"/>
      <c r="C26" s="96" t="n"/>
      <c r="D26" s="96" t="n"/>
      <c r="E26" s="96" t="n"/>
      <c r="F26" s="96" t="n"/>
      <c r="G26" s="97" t="n"/>
    </row>
    <row r="27" ht="20" customHeight="1">
      <c r="A27" s="96" t="n"/>
      <c r="B27" s="97" t="n"/>
      <c r="C27" s="97" t="n"/>
      <c r="D27" s="102" t="n"/>
      <c r="E27" s="97" t="n"/>
      <c r="F27" s="97" t="n"/>
      <c r="G27" s="97" t="n"/>
    </row>
    <row r="28" ht="20" customHeight="1">
      <c r="A28" s="96" t="n"/>
      <c r="B28" s="97" t="n"/>
      <c r="C28" s="97" t="n"/>
      <c r="D28" s="102" t="n"/>
      <c r="E28" s="97" t="n"/>
      <c r="F28" s="97" t="n"/>
      <c r="G28" s="97" t="n"/>
    </row>
    <row r="29" ht="20" customHeight="1">
      <c r="A29" s="96" t="n"/>
      <c r="B29" s="97" t="n"/>
      <c r="C29" s="97" t="n"/>
      <c r="D29" s="120" t="n"/>
      <c r="E29" s="97" t="n"/>
      <c r="F29" s="97" t="n"/>
      <c r="G29" s="97" t="n"/>
    </row>
  </sheetData>
  <sheetProtection selectLockedCells="0" selectUnlockedCells="0" sheet="1" objects="0" insertRows="1" insertHyperlinks="1" autoFilter="1" scenarios="0" formatColumns="1" deleteColumns="1" insertColumns="1" pivotTables="1" deleteRows="1" formatCells="1" formatRows="1" sort="1"/>
  <mergeCells count="34">
    <mergeCell ref="C24:D24"/>
    <mergeCell ref="C15:D15"/>
    <mergeCell ref="E16:H16"/>
    <mergeCell ref="C14:D14"/>
    <mergeCell ref="E7:H7"/>
    <mergeCell ref="A2:F2"/>
    <mergeCell ref="C20:D20"/>
    <mergeCell ref="E18:H18"/>
    <mergeCell ref="C16:D16"/>
    <mergeCell ref="E12:H12"/>
    <mergeCell ref="A22:F22"/>
    <mergeCell ref="A4:F4"/>
    <mergeCell ref="C9:D9"/>
    <mergeCell ref="E24:H24"/>
    <mergeCell ref="E14:H14"/>
    <mergeCell ref="C12:D12"/>
    <mergeCell ref="E23:H23"/>
    <mergeCell ref="E17:H17"/>
    <mergeCell ref="E8:H8"/>
    <mergeCell ref="E20:H20"/>
    <mergeCell ref="E19:H19"/>
    <mergeCell ref="C17:D17"/>
    <mergeCell ref="C23:D23"/>
    <mergeCell ref="C8:D8"/>
    <mergeCell ref="E13:H13"/>
    <mergeCell ref="A11:F11"/>
    <mergeCell ref="E9:H9"/>
    <mergeCell ref="C7:D7"/>
    <mergeCell ref="A1:F1"/>
    <mergeCell ref="C19:D19"/>
    <mergeCell ref="A6:F6"/>
    <mergeCell ref="E15:H15"/>
    <mergeCell ref="C13:D13"/>
    <mergeCell ref="C18:D18"/>
  </mergeCells>
  <pageMargins left="0.75" right="0.75" top="1" bottom="1" header="0.5" footer="0.5"/>
</worksheet>
</file>

<file path=xl/worksheets/sheet5.xml><?xml version="1.0" encoding="utf-8"?>
<worksheet xmlns="http://schemas.openxmlformats.org/spreadsheetml/2006/main">
  <sheetPr>
    <tabColor rgb="004472C4"/>
    <outlinePr summaryBelow="1" summaryRight="1"/>
    <pageSetUpPr/>
  </sheetPr>
  <dimension ref="A1:H23"/>
  <sheetViews>
    <sheetView showGridLines="0" tabSelected="0" workbookViewId="0">
      <selection activeCell="A1" sqref="A1"/>
    </sheetView>
  </sheetViews>
  <sheetFormatPr baseColWidth="8" defaultRowHeight="15"/>
  <cols>
    <col width="2" customWidth="1" min="1" max="1"/>
    <col width="30" customWidth="1" min="2" max="2"/>
    <col width="7" customWidth="1" min="3" max="3"/>
    <col width="15" customWidth="1" min="4" max="4"/>
    <col width="4" customWidth="1" min="5" max="5"/>
    <col width="28" customWidth="1" min="6" max="6"/>
    <col width="2" customWidth="1" min="7" max="7"/>
  </cols>
  <sheetData>
    <row r="1" ht="38" customHeight="1">
      <c r="A1" s="93" t="inlineStr">
        <is>
          <t>MyClearBudget — Refinance Analysis</t>
        </is>
      </c>
      <c r="G1" s="96" t="n"/>
    </row>
    <row r="2" ht="22" customHeight="1">
      <c r="A2" s="95" t="inlineStr">
        <is>
          <t>BRRRR Strategy Calculator — Step 3: What will the lender give you?</t>
        </is>
      </c>
      <c r="G2" s="96" t="n"/>
    </row>
    <row r="3" ht="8" customHeight="1">
      <c r="A3" s="96" t="n"/>
      <c r="B3" s="97" t="n"/>
      <c r="C3" s="96" t="n"/>
      <c r="D3" s="96" t="n"/>
      <c r="E3" s="96" t="n"/>
      <c r="F3" s="96" t="n"/>
      <c r="G3" s="96" t="n"/>
    </row>
    <row r="4" ht="18" customHeight="1">
      <c r="A4" s="107" t="inlineStr">
        <is>
          <t xml:space="preserve">  ✏️  Yellow cells = your inputs.  🔵  Blue cells = auto-calculated.</t>
        </is>
      </c>
      <c r="G4" s="97" t="n"/>
    </row>
    <row r="5" ht="8" customHeight="1">
      <c r="A5" s="96" t="n"/>
      <c r="B5" s="97" t="n"/>
      <c r="C5" s="96" t="n"/>
      <c r="D5" s="96" t="n"/>
      <c r="E5" s="96" t="n"/>
      <c r="F5" s="96" t="n"/>
      <c r="G5" s="97" t="n"/>
    </row>
    <row r="6" ht="24" customHeight="1">
      <c r="A6" s="108" t="inlineStr">
        <is>
          <t xml:space="preserve">  PROPERTY VALUE &amp; LOAN TERMS</t>
        </is>
      </c>
      <c r="G6" s="96" t="n"/>
    </row>
    <row r="7" ht="22" customHeight="1">
      <c r="A7" s="96" t="n"/>
      <c r="B7" s="109" t="inlineStr">
        <is>
          <t>After Repair Value (ARV)</t>
        </is>
      </c>
      <c r="C7" s="110" t="n">
        <v>155000</v>
      </c>
      <c r="D7" s="148" t="n"/>
      <c r="E7" s="153" t="inlineStr">
        <is>
          <t>Supported by comparable sales</t>
        </is>
      </c>
      <c r="F7" s="54" t="n"/>
      <c r="G7" s="54" t="n"/>
      <c r="H7" s="54" t="n"/>
    </row>
    <row r="8" ht="22" customHeight="1">
      <c r="A8" s="96" t="n"/>
      <c r="B8" s="109" t="inlineStr">
        <is>
          <t>Lender LTV %</t>
        </is>
      </c>
      <c r="C8" s="113" t="n">
        <v>0.75</v>
      </c>
      <c r="D8" s="148" t="n"/>
      <c r="E8" s="153" t="inlineStr">
        <is>
          <t>75% is standard for investment property</t>
        </is>
      </c>
      <c r="F8" s="54" t="n"/>
      <c r="G8" s="54" t="n"/>
      <c r="H8" s="54" t="n"/>
    </row>
    <row r="9" ht="22" customHeight="1">
      <c r="A9" s="96" t="n"/>
      <c r="B9" s="109" t="inlineStr">
        <is>
          <t>Refinance Loan Amount</t>
        </is>
      </c>
      <c r="C9" s="114">
        <f>C7*C8</f>
        <v/>
      </c>
      <c r="D9" s="148" t="n"/>
      <c r="E9" s="153" t="inlineStr">
        <is>
          <t>ARV × LTV — auto-calculated</t>
        </is>
      </c>
      <c r="F9" s="54" t="n"/>
      <c r="G9" s="54" t="n"/>
      <c r="H9" s="54" t="n"/>
    </row>
    <row r="10" ht="22" customHeight="1">
      <c r="A10" s="96" t="n"/>
      <c r="B10" s="109" t="inlineStr">
        <is>
          <t>Refinance Closing Costs</t>
        </is>
      </c>
      <c r="C10" s="110" t="n">
        <v>3200</v>
      </c>
      <c r="D10" s="148" t="n"/>
      <c r="E10" s="153" t="inlineStr">
        <is>
          <t>Typical 2–3% of loan amount</t>
        </is>
      </c>
      <c r="F10" s="54" t="n"/>
      <c r="G10" s="54" t="n"/>
      <c r="H10" s="54" t="n"/>
    </row>
    <row r="11" ht="22" customHeight="1">
      <c r="A11" s="96" t="n"/>
      <c r="B11" s="109" t="inlineStr">
        <is>
          <t>Refinance Interest Rate %</t>
        </is>
      </c>
      <c r="C11" s="121" t="n">
        <v>0.07000000000000001</v>
      </c>
      <c r="D11" s="148" t="n"/>
      <c r="E11" s="153" t="inlineStr">
        <is>
          <t>Current market rate (e.g. 7.00%)</t>
        </is>
      </c>
      <c r="F11" s="54" t="n"/>
      <c r="G11" s="54" t="n"/>
      <c r="H11" s="54" t="n"/>
    </row>
    <row r="12" ht="22" customHeight="1">
      <c r="A12" s="96" t="n"/>
      <c r="B12" s="109" t="inlineStr">
        <is>
          <t>Refinance Loan Term (years)</t>
        </is>
      </c>
      <c r="C12" s="122" t="n">
        <v>30</v>
      </c>
      <c r="D12" s="148" t="n"/>
      <c r="E12" s="153" t="inlineStr">
        <is>
          <t>30-year fixed is most common</t>
        </is>
      </c>
      <c r="F12" s="54" t="n"/>
      <c r="G12" s="54" t="n"/>
      <c r="H12" s="54" t="n"/>
    </row>
    <row r="13" ht="8" customHeight="1">
      <c r="A13" s="96" t="n"/>
      <c r="B13" s="97" t="n"/>
      <c r="C13" s="97" t="n"/>
      <c r="D13" s="102" t="n"/>
      <c r="E13" s="97" t="n"/>
      <c r="F13" s="97" t="n"/>
      <c r="G13" s="97" t="n"/>
    </row>
    <row r="14" ht="24" customHeight="1">
      <c r="A14" s="108" t="inlineStr">
        <is>
          <t xml:space="preserve">  MONTHLY PAYMENT</t>
        </is>
      </c>
      <c r="G14" s="97" t="n"/>
    </row>
    <row r="15" ht="22" customHeight="1">
      <c r="A15" s="96" t="n"/>
      <c r="B15" s="109" t="inlineStr">
        <is>
          <t>Monthly P&amp;I Payment</t>
        </is>
      </c>
      <c r="C15" s="123">
        <f>IFERROR(PMT(C11/12,C12*12,-C9),0)</f>
        <v/>
      </c>
      <c r="D15" s="150" t="n"/>
      <c r="E15" s="119" t="inlineStr">
        <is>
          <t>Auto-calculated from loan terms</t>
        </is>
      </c>
    </row>
    <row r="16" ht="8" customHeight="1">
      <c r="A16" s="96" t="n"/>
      <c r="B16" s="97" t="n"/>
      <c r="C16" s="96" t="n"/>
      <c r="D16" s="96" t="n"/>
      <c r="E16" s="96" t="n"/>
      <c r="F16" s="96" t="n"/>
      <c r="G16" s="96" t="n"/>
    </row>
    <row r="17" ht="24" customHeight="1">
      <c r="A17" s="108" t="inlineStr">
        <is>
          <t xml:space="preserve">  CAPITAL RECOVERY (The BRRRR Check)</t>
        </is>
      </c>
      <c r="G17" s="97" t="n"/>
    </row>
    <row r="18" ht="22" customHeight="1">
      <c r="A18" s="96" t="n"/>
      <c r="B18" s="109" t="inlineStr">
        <is>
          <t>Total Cash Invested</t>
        </is>
      </c>
      <c r="C18" s="114">
        <f>'Purchase &amp; Rehab'!C18</f>
        <v/>
      </c>
      <c r="D18" s="148" t="n"/>
      <c r="E18" s="153" t="inlineStr">
        <is>
          <t>From Purchase &amp; Rehab tab</t>
        </is>
      </c>
      <c r="F18" s="54" t="n"/>
      <c r="G18" s="54" t="n"/>
      <c r="H18" s="54" t="n"/>
    </row>
    <row r="19" ht="22" customHeight="1">
      <c r="A19" s="96" t="n"/>
      <c r="B19" s="109" t="inlineStr">
        <is>
          <t>Cash Pulled Out at Refi</t>
        </is>
      </c>
      <c r="C19" s="114">
        <f>C9-C10</f>
        <v/>
      </c>
      <c r="D19" s="148" t="n"/>
      <c r="E19" s="153" t="inlineStr">
        <is>
          <t>Loan amount minus closing costs</t>
        </is>
      </c>
      <c r="F19" s="54" t="n"/>
      <c r="G19" s="54" t="n"/>
      <c r="H19" s="54" t="n"/>
    </row>
    <row r="20" ht="22" customHeight="1">
      <c r="A20" s="96" t="n"/>
      <c r="B20" s="109" t="inlineStr">
        <is>
          <t>Cash Left in Deal</t>
        </is>
      </c>
      <c r="C20" s="112">
        <f>C18-C19</f>
        <v/>
      </c>
      <c r="D20" s="148" t="n"/>
      <c r="E20" s="153" t="inlineStr">
        <is>
          <t>Invested minus recovered</t>
        </is>
      </c>
      <c r="F20" s="54" t="n"/>
      <c r="G20" s="54" t="n"/>
      <c r="H20" s="54" t="n"/>
    </row>
    <row r="21" ht="22" customHeight="1">
      <c r="A21" s="96" t="n"/>
      <c r="B21" s="109" t="inlineStr">
        <is>
          <t>Equity Remaining</t>
        </is>
      </c>
      <c r="C21" s="114">
        <f>C7-C9</f>
        <v/>
      </c>
      <c r="D21" s="148" t="n"/>
      <c r="E21" s="153" t="inlineStr">
        <is>
          <t>ARV minus loan amount</t>
        </is>
      </c>
      <c r="F21" s="54" t="n"/>
      <c r="G21" s="54" t="n"/>
      <c r="H21" s="54" t="n"/>
    </row>
    <row r="22" ht="8" customHeight="1">
      <c r="A22" s="96" t="n"/>
      <c r="B22" s="97" t="n"/>
      <c r="C22" s="96" t="n"/>
      <c r="D22" s="96" t="n"/>
      <c r="E22" s="124" t="n"/>
      <c r="F22" s="97" t="n"/>
      <c r="G22" s="97" t="n"/>
    </row>
    <row r="23" ht="32" customHeight="1">
      <c r="A23" s="125">
        <f>IF(C20&lt;=0,"✅  INFINITE RETURN — All capital recovered! This is a great BRRRR deal.","📊  Cash remaining in deal: "&amp;TEXT(C20,"$#,##0")&amp;" — not yet infinite return.")</f>
        <v/>
      </c>
    </row>
  </sheetData>
  <sheetProtection selectLockedCells="0" selectUnlockedCells="0" sheet="1" objects="0" insertRows="1" insertHyperlinks="1" autoFilter="1" scenarios="0" formatColumns="1" deleteColumns="1" insertColumns="1" pivotTables="1" deleteRows="1" formatCells="1" formatRows="1" sort="1"/>
  <mergeCells count="29">
    <mergeCell ref="C15:D15"/>
    <mergeCell ref="E7:H7"/>
    <mergeCell ref="A2:F2"/>
    <mergeCell ref="C20:D20"/>
    <mergeCell ref="E18:H18"/>
    <mergeCell ref="C10:D10"/>
    <mergeCell ref="A14:F14"/>
    <mergeCell ref="E12:H12"/>
    <mergeCell ref="A23:F23"/>
    <mergeCell ref="E21:H21"/>
    <mergeCell ref="A17:F17"/>
    <mergeCell ref="A4:F4"/>
    <mergeCell ref="C9:D9"/>
    <mergeCell ref="C12:D12"/>
    <mergeCell ref="C21:D21"/>
    <mergeCell ref="E8:H8"/>
    <mergeCell ref="C11:D11"/>
    <mergeCell ref="E20:H20"/>
    <mergeCell ref="E19:H19"/>
    <mergeCell ref="E10:H10"/>
    <mergeCell ref="C8:D8"/>
    <mergeCell ref="E9:H9"/>
    <mergeCell ref="C7:D7"/>
    <mergeCell ref="A1:F1"/>
    <mergeCell ref="C19:D19"/>
    <mergeCell ref="A6:F6"/>
    <mergeCell ref="E15:H15"/>
    <mergeCell ref="C18:D18"/>
    <mergeCell ref="E11:H11"/>
  </mergeCells>
  <pageMargins left="0.75" right="0.75" top="1" bottom="1" header="0.5" footer="0.5"/>
</worksheet>
</file>

<file path=xl/worksheets/sheet6.xml><?xml version="1.0" encoding="utf-8"?>
<worksheet xmlns="http://schemas.openxmlformats.org/spreadsheetml/2006/main">
  <sheetPr>
    <tabColor rgb="004472C4"/>
    <outlinePr summaryBelow="1" summaryRight="1"/>
    <pageSetUpPr/>
  </sheetPr>
  <dimension ref="A1:H18"/>
  <sheetViews>
    <sheetView showGridLines="0" tabSelected="0" workbookViewId="0">
      <selection activeCell="A1" sqref="A1"/>
    </sheetView>
  </sheetViews>
  <sheetFormatPr baseColWidth="8" defaultRowHeight="15"/>
  <cols>
    <col width="2" customWidth="1" min="1" max="1"/>
    <col width="30" customWidth="1" min="2" max="2"/>
    <col width="7" customWidth="1" min="3" max="3"/>
    <col width="15" customWidth="1" min="4" max="4"/>
    <col width="4" customWidth="1" min="5" max="5"/>
    <col width="28" customWidth="1" min="6" max="6"/>
    <col width="2" customWidth="1" min="7" max="7"/>
  </cols>
  <sheetData>
    <row r="1" ht="38" customHeight="1">
      <c r="A1" s="93" t="inlineStr">
        <is>
          <t>MyClearBudget — Cash Flow Analysis</t>
        </is>
      </c>
      <c r="G1" s="96" t="n"/>
    </row>
    <row r="2" ht="22" customHeight="1">
      <c r="A2" s="95" t="inlineStr">
        <is>
          <t>BRRRR Strategy Calculator — Step 4: What does the deal generate?</t>
        </is>
      </c>
      <c r="G2" s="96" t="n"/>
    </row>
    <row r="3" ht="8" customHeight="1">
      <c r="A3" s="96" t="n"/>
      <c r="B3" s="97" t="n"/>
      <c r="C3" s="96" t="n"/>
      <c r="D3" s="96" t="n"/>
      <c r="E3" s="96" t="n"/>
      <c r="F3" s="96" t="n"/>
      <c r="G3" s="96" t="n"/>
    </row>
    <row r="4" ht="18" customHeight="1">
      <c r="A4" s="107" t="inlineStr">
        <is>
          <t xml:space="preserve">  🔵  All values pull from other tabs automatically. Nothing to enter here.</t>
        </is>
      </c>
      <c r="G4" s="97" t="n"/>
    </row>
    <row r="5" ht="8" customHeight="1">
      <c r="A5" s="96" t="n"/>
      <c r="B5" s="97" t="n"/>
      <c r="C5" s="96" t="n"/>
      <c r="D5" s="96" t="n"/>
      <c r="E5" s="96" t="n"/>
      <c r="F5" s="96" t="n"/>
      <c r="G5" s="97" t="n"/>
    </row>
    <row r="6" ht="24" customHeight="1">
      <c r="A6" s="108" t="inlineStr">
        <is>
          <t xml:space="preserve">  MONTHLY CASH FLOW</t>
        </is>
      </c>
      <c r="G6" s="96" t="n"/>
    </row>
    <row r="7" ht="22" customHeight="1">
      <c r="A7" s="96" t="n"/>
      <c r="B7" s="109" t="inlineStr">
        <is>
          <t>Monthly Rental Income (EGI)</t>
        </is>
      </c>
      <c r="C7" s="114">
        <f>'Rental Income &amp; Expenses'!C9</f>
        <v/>
      </c>
      <c r="D7" s="148" t="n"/>
      <c r="E7" s="153" t="inlineStr">
        <is>
          <t>From Rental Income tab</t>
        </is>
      </c>
      <c r="F7" s="54" t="n"/>
      <c r="G7" s="54" t="n"/>
      <c r="H7" s="54" t="n"/>
    </row>
    <row r="8" ht="22" customHeight="1">
      <c r="A8" s="96" t="n"/>
      <c r="B8" s="109" t="inlineStr">
        <is>
          <t>Monthly Refi Payment (P&amp;I)</t>
        </is>
      </c>
      <c r="C8" s="114">
        <f>'Refinance Analysis'!C15</f>
        <v/>
      </c>
      <c r="D8" s="148" t="n"/>
      <c r="E8" s="153" t="inlineStr">
        <is>
          <t>From Refinance Analysis tab</t>
        </is>
      </c>
      <c r="F8" s="54" t="n"/>
      <c r="G8" s="54" t="n"/>
      <c r="H8" s="54" t="n"/>
    </row>
    <row r="9" ht="22" customHeight="1">
      <c r="A9" s="96" t="n"/>
      <c r="B9" s="109" t="inlineStr">
        <is>
          <t>Monthly Operating Expenses</t>
        </is>
      </c>
      <c r="C9" s="114">
        <f>'Rental Income &amp; Expenses'!C23</f>
        <v/>
      </c>
      <c r="D9" s="148" t="n"/>
      <c r="E9" s="153" t="inlineStr">
        <is>
          <t>From Rental Income tab</t>
        </is>
      </c>
      <c r="F9" s="54" t="n"/>
      <c r="G9" s="54" t="n"/>
      <c r="H9" s="54" t="n"/>
    </row>
    <row r="10" ht="8" customHeight="1">
      <c r="A10" s="96" t="n"/>
      <c r="B10" s="97" t="n"/>
      <c r="C10" s="97" t="n"/>
      <c r="D10" s="97" t="n"/>
      <c r="E10" s="97" t="n"/>
      <c r="F10" s="97" t="n"/>
      <c r="G10" s="97" t="n"/>
    </row>
    <row r="11" ht="24" customHeight="1">
      <c r="A11" s="108" t="inlineStr">
        <is>
          <t xml:space="preserve">  NET RESULTS</t>
        </is>
      </c>
      <c r="G11" s="97" t="n"/>
    </row>
    <row r="12" ht="22" customHeight="1">
      <c r="A12" s="96" t="n"/>
      <c r="B12" s="109" t="inlineStr">
        <is>
          <t>Monthly Cash Flow</t>
        </is>
      </c>
      <c r="C12" s="126">
        <f>C7-C8-C9</f>
        <v/>
      </c>
      <c r="D12" s="148" t="n"/>
      <c r="E12" s="153" t="inlineStr">
        <is>
          <t>Income minus mortgage minus expenses</t>
        </is>
      </c>
      <c r="F12" s="54" t="n"/>
      <c r="G12" s="54" t="n"/>
      <c r="H12" s="54" t="n"/>
    </row>
    <row r="13" ht="22" customHeight="1">
      <c r="A13" s="96" t="n"/>
      <c r="B13" s="109" t="inlineStr">
        <is>
          <t>Annual Cash Flow</t>
        </is>
      </c>
      <c r="C13" s="127">
        <f>C12*12</f>
        <v/>
      </c>
      <c r="D13" s="148" t="n"/>
      <c r="E13" s="153" t="inlineStr">
        <is>
          <t>Monthly × 12</t>
        </is>
      </c>
      <c r="F13" s="54" t="n"/>
      <c r="G13" s="54" t="n"/>
      <c r="H13" s="54" t="n"/>
    </row>
    <row r="14" ht="8" customHeight="1">
      <c r="A14" s="96" t="n"/>
      <c r="B14" s="97" t="n"/>
      <c r="C14" s="96" t="n"/>
      <c r="D14" s="96" t="n"/>
      <c r="E14" s="96" t="n"/>
      <c r="F14" s="96" t="n"/>
      <c r="G14" s="97" t="n"/>
    </row>
    <row r="15" ht="24" customHeight="1">
      <c r="A15" s="108" t="inlineStr">
        <is>
          <t xml:space="preserve">  RETURN METRICS</t>
        </is>
      </c>
      <c r="G15" s="97" t="n"/>
    </row>
    <row r="16" ht="22" customHeight="1">
      <c r="A16" s="96" t="n"/>
      <c r="B16" s="109" t="inlineStr">
        <is>
          <t>Cash-on-Cash Return</t>
        </is>
      </c>
      <c r="C16" s="128">
        <f>IF('Refinance Analysis'!C20&lt;=0,"∞",IF('Refinance Analysis'!C20&gt;0,C13/'Refinance Analysis'!C20,""))</f>
        <v/>
      </c>
      <c r="D16" s="148" t="n"/>
      <c r="E16" s="153" t="inlineStr">
        <is>
          <t>Annual CF ÷ cash remaining in deal</t>
        </is>
      </c>
      <c r="F16" s="54" t="n"/>
      <c r="G16" s="54" t="n"/>
      <c r="H16" s="54" t="n"/>
    </row>
    <row r="17" ht="22" customHeight="1">
      <c r="A17" s="96" t="n"/>
      <c r="B17" s="109" t="inlineStr">
        <is>
          <t>DSCR</t>
        </is>
      </c>
      <c r="C17" s="129">
        <f>IF('Refinance Analysis'!C15&gt;0,C7/'Refinance Analysis'!C15,0)</f>
        <v/>
      </c>
      <c r="D17" s="148" t="n"/>
      <c r="E17" s="153" t="inlineStr">
        <is>
          <t>Debt Service Coverage Ratio (healthy &gt; 1.25)</t>
        </is>
      </c>
      <c r="F17" s="54" t="n"/>
      <c r="G17" s="54" t="n"/>
      <c r="H17" s="54" t="n"/>
    </row>
    <row r="18" ht="24" customHeight="1">
      <c r="A18" s="96" t="n"/>
      <c r="B18" s="97" t="n"/>
      <c r="C18" s="96" t="n"/>
      <c r="D18" s="96" t="n"/>
      <c r="E18" s="102" t="n"/>
      <c r="F18" s="97" t="n"/>
      <c r="G18" s="97" t="n"/>
    </row>
  </sheetData>
  <sheetProtection selectLockedCells="0" selectUnlockedCells="0" sheet="1" objects="0" insertRows="1" insertHyperlinks="1" autoFilter="1" scenarios="0" formatColumns="1" deleteColumns="1" insertColumns="1" pivotTables="1" deleteRows="1" formatCells="1" formatRows="1" sort="1"/>
  <mergeCells count="20">
    <mergeCell ref="E16:H16"/>
    <mergeCell ref="E7:H7"/>
    <mergeCell ref="A2:F2"/>
    <mergeCell ref="C16:D16"/>
    <mergeCell ref="E12:H12"/>
    <mergeCell ref="A4:F4"/>
    <mergeCell ref="C9:D9"/>
    <mergeCell ref="C12:D12"/>
    <mergeCell ref="E17:H17"/>
    <mergeCell ref="E8:H8"/>
    <mergeCell ref="C17:D17"/>
    <mergeCell ref="A15:F15"/>
    <mergeCell ref="C8:D8"/>
    <mergeCell ref="E13:H13"/>
    <mergeCell ref="A11:F11"/>
    <mergeCell ref="E9:H9"/>
    <mergeCell ref="C7:D7"/>
    <mergeCell ref="A1:F1"/>
    <mergeCell ref="A6:F6"/>
    <mergeCell ref="C13:D13"/>
  </mergeCells>
  <pageMargins left="0.75" right="0.75" top="1" bottom="1" header="0.5" footer="0.5"/>
</worksheet>
</file>

<file path=xl/worksheets/sheet7.xml><?xml version="1.0" encoding="utf-8"?>
<worksheet xmlns="http://schemas.openxmlformats.org/spreadsheetml/2006/main">
  <sheetPr>
    <tabColor rgb="00F4A61F"/>
    <outlinePr summaryBelow="1" summaryRight="1"/>
    <pageSetUpPr/>
  </sheetPr>
  <dimension ref="A1:E19"/>
  <sheetViews>
    <sheetView showGridLines="0" tabSelected="0" workbookViewId="0">
      <selection activeCell="A1" sqref="A1"/>
    </sheetView>
  </sheetViews>
  <sheetFormatPr baseColWidth="8" defaultRowHeight="15"/>
  <cols>
    <col width="2" customWidth="1" min="1" max="1"/>
    <col width="28" customWidth="1" min="2" max="2"/>
    <col width="20" customWidth="1" min="3" max="3"/>
    <col width="20" customWidth="1" min="4" max="4"/>
    <col width="14" customWidth="1" min="5" max="5"/>
    <col width="2" customWidth="1" min="6" max="6"/>
  </cols>
  <sheetData>
    <row r="1" ht="38" customHeight="1">
      <c r="A1" s="93" t="inlineStr">
        <is>
          <t>MyClearBudget — BRRRR Scorecard</t>
        </is>
      </c>
    </row>
    <row r="2" ht="22" customHeight="1">
      <c r="A2" s="95" t="inlineStr">
        <is>
          <t>Deal at a Glance — Does this deal pass?</t>
        </is>
      </c>
    </row>
    <row r="3" ht="8" customHeight="1">
      <c r="A3" s="96" t="n"/>
      <c r="B3" s="97" t="n"/>
      <c r="C3" s="96" t="n"/>
      <c r="D3" s="96" t="n"/>
      <c r="E3" s="96" t="n"/>
    </row>
    <row r="4" ht="24" customHeight="1">
      <c r="A4" s="96" t="n"/>
      <c r="B4" s="130" t="inlineStr">
        <is>
          <t>METRIC</t>
        </is>
      </c>
      <c r="C4" s="130" t="inlineStr">
        <is>
          <t>YOUR DEAL</t>
        </is>
      </c>
      <c r="D4" s="130" t="inlineStr">
        <is>
          <t>TARGET</t>
        </is>
      </c>
      <c r="E4" s="130" t="inlineStr">
        <is>
          <t>STATUS</t>
        </is>
      </c>
    </row>
    <row r="5" ht="24" customHeight="1">
      <c r="A5" s="96" t="n"/>
      <c r="B5" s="131" t="inlineStr">
        <is>
          <t>After Repair Value</t>
        </is>
      </c>
      <c r="C5" s="132">
        <f>'Refinance Analysis'!C7</f>
        <v/>
      </c>
      <c r="D5" s="133" t="inlineStr">
        <is>
          <t>&gt; Purchase + Rehab</t>
        </is>
      </c>
      <c r="E5" s="134">
        <f>IF('Refinance Analysis'!C7&gt;('Purchase &amp; Rehab'!C7+'Purchase &amp; Rehab'!C12),"✅ PASS","❌ FAIL")</f>
        <v/>
      </c>
    </row>
    <row r="6" ht="24" customHeight="1">
      <c r="A6" s="96" t="n"/>
      <c r="B6" s="135" t="inlineStr">
        <is>
          <t>Cash Pulled Out</t>
        </is>
      </c>
      <c r="C6" s="136">
        <f>'Refinance Analysis'!C19</f>
        <v/>
      </c>
      <c r="D6" s="137" t="inlineStr">
        <is>
          <t>&gt;= Total Invested</t>
        </is>
      </c>
      <c r="E6" s="138">
        <f>IF('Refinance Analysis'!C19&gt;='Refinance Analysis'!C18,"✅ PASS","❌ FAIL")</f>
        <v/>
      </c>
    </row>
    <row r="7" ht="24" customHeight="1">
      <c r="A7" s="96" t="n"/>
      <c r="B7" s="131" t="inlineStr">
        <is>
          <t>Cash Left in Deal</t>
        </is>
      </c>
      <c r="C7" s="139">
        <f>'Refinance Analysis'!C20</f>
        <v/>
      </c>
      <c r="D7" s="140" t="inlineStr">
        <is>
          <t>&lt; $0 (Infinite)</t>
        </is>
      </c>
      <c r="E7" s="141">
        <f>IF('Refinance Analysis'!C20&lt;=0,"✅ PASS","❌ FAIL")</f>
        <v/>
      </c>
    </row>
    <row r="8" ht="24" customHeight="1">
      <c r="A8" s="96" t="n"/>
      <c r="B8" s="135" t="inlineStr">
        <is>
          <t>Monthly Cash Flow</t>
        </is>
      </c>
      <c r="C8" s="142">
        <f>'Cash Flow Analysis'!C12</f>
        <v/>
      </c>
      <c r="D8" s="137" t="inlineStr">
        <is>
          <t>&gt; $0</t>
        </is>
      </c>
      <c r="E8" s="143">
        <f>IF('Cash Flow Analysis'!C12&gt;0,"✅ PASS","❌ FAIL")</f>
        <v/>
      </c>
    </row>
    <row r="9" ht="24" customHeight="1">
      <c r="A9" s="96" t="n"/>
      <c r="B9" s="131" t="inlineStr">
        <is>
          <t>Annual Cash Flow</t>
        </is>
      </c>
      <c r="C9" s="132">
        <f>'Cash Flow Analysis'!C13</f>
        <v/>
      </c>
      <c r="D9" s="140" t="inlineStr">
        <is>
          <t>&gt; $0</t>
        </is>
      </c>
      <c r="E9" s="134">
        <f>IF('Cash Flow Analysis'!C13&gt;0,"✅ PASS","❌ FAIL")</f>
        <v/>
      </c>
    </row>
    <row r="10" ht="24" customHeight="1">
      <c r="A10" s="96" t="n"/>
      <c r="B10" s="135" t="inlineStr">
        <is>
          <t>DSCR</t>
        </is>
      </c>
      <c r="C10" s="144">
        <f>'Cash Flow Analysis'!C17</f>
        <v/>
      </c>
      <c r="D10" s="137" t="inlineStr">
        <is>
          <t>&gt; 1.25</t>
        </is>
      </c>
      <c r="E10" s="138">
        <f>IF('Cash Flow Analysis'!C17&gt;1.25,"✅ PASS","❌ FAIL")</f>
        <v/>
      </c>
    </row>
    <row r="11" ht="24" customHeight="1">
      <c r="A11" s="96" t="n"/>
      <c r="B11" s="131" t="inlineStr">
        <is>
          <t>Infinite Return?</t>
        </is>
      </c>
      <c r="C11" s="132">
        <f>'Refinance Analysis'!C20</f>
        <v/>
      </c>
      <c r="D11" s="140" t="inlineStr">
        <is>
          <t>&lt;= $0</t>
        </is>
      </c>
      <c r="E11" s="134">
        <f>IF('Refinance Analysis'!C20&lt;=0,"✅ YES","❌ No")</f>
        <v/>
      </c>
    </row>
    <row r="12" ht="22" customHeight="1">
      <c r="A12" s="96" t="n"/>
      <c r="B12" s="97" t="n"/>
      <c r="C12" s="145" t="n"/>
      <c r="D12" s="97" t="n"/>
      <c r="E12" s="96" t="n"/>
    </row>
    <row r="13" ht="22" customHeight="1">
      <c r="A13" s="96" t="n"/>
      <c r="B13" s="97" t="n"/>
      <c r="C13" s="146" t="n"/>
      <c r="D13" s="97" t="n"/>
      <c r="E13" s="96" t="n"/>
    </row>
    <row r="14" ht="22" customHeight="1">
      <c r="A14" s="96" t="n"/>
      <c r="B14" s="97" t="n"/>
      <c r="C14" s="120" t="n"/>
      <c r="D14" s="97" t="n"/>
      <c r="E14" s="96" t="n"/>
    </row>
    <row r="15" ht="22" customHeight="1">
      <c r="A15" s="96" t="n"/>
      <c r="B15" s="97" t="n"/>
      <c r="C15" s="124" t="n"/>
      <c r="D15" s="97" t="n"/>
      <c r="E15" s="96" t="n"/>
    </row>
    <row r="16" ht="12" customHeight="1">
      <c r="A16" s="96" t="n"/>
      <c r="B16" s="97" t="n"/>
      <c r="C16" s="97" t="n"/>
      <c r="D16" s="97" t="n"/>
      <c r="E16" s="97" t="n"/>
    </row>
    <row r="17" ht="22" customHeight="1">
      <c r="A17" s="96" t="n"/>
      <c r="B17" s="97" t="n"/>
      <c r="C17" s="96" t="n"/>
      <c r="D17" s="96" t="n"/>
      <c r="E17" s="96" t="n"/>
    </row>
    <row r="18" ht="8" customHeight="1">
      <c r="A18" s="96" t="n"/>
      <c r="B18" s="97" t="n"/>
      <c r="C18" s="97" t="n"/>
      <c r="D18" s="97" t="n"/>
      <c r="E18" s="97" t="n"/>
    </row>
    <row r="19" ht="36" customHeight="1">
      <c r="A19" s="96" t="n"/>
      <c r="B19" s="97" t="n"/>
      <c r="C19" s="96" t="n"/>
      <c r="D19" s="96" t="n"/>
      <c r="E19" s="96" t="n"/>
    </row>
  </sheetData>
  <sheetProtection selectLockedCells="0" selectUnlockedCells="0" sheet="1" objects="0" insertRows="1" insertHyperlinks="1" autoFilter="1" scenarios="0" formatColumns="1" deleteColumns="1" insertColumns="1" pivotTables="1" deleteRows="1" formatCells="1" formatRows="1" sort="1"/>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2026-06-02T19:10:01Z</dcterms:created>
  <dcterms:modified xmlns:dcterms="http://purl.org/dc/terms/" xmlns:xsi="http://www.w3.org/2001/XMLSchema-instance" xsi:type="dcterms:W3CDTF">2026-06-13T15:23:57Z</dcterms:modified>
</cp:coreProperties>
</file>