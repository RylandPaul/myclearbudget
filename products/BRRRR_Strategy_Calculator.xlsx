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urchase &amp; Rehab" sheetId="2" state="visible" r:id="rId2"/>
    <sheet xmlns:r="http://schemas.openxmlformats.org/officeDocument/2006/relationships" name="Rental Income &amp; Expenses" sheetId="3" state="visible" r:id="rId3"/>
    <sheet xmlns:r="http://schemas.openxmlformats.org/officeDocument/2006/relationships" name="Refinance Analysis" sheetId="4" state="visible" r:id="rId4"/>
    <sheet xmlns:r="http://schemas.openxmlformats.org/officeDocument/2006/relationships" name="Cash Flow Analysis" sheetId="5" state="visible" r:id="rId5"/>
    <sheet xmlns:r="http://schemas.openxmlformats.org/officeDocument/2006/relationships" name="BRRRR Scorecard" sheetId="6" state="visible" r:id="rId6"/>
    <sheet xmlns:r="http://schemas.openxmlformats.org/officeDocument/2006/relationships" name="Getting Start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0%;@"/>
    <numFmt numFmtId="166" formatCode="#,##0.00%;@"/>
    <numFmt numFmtId="167" formatCode="0.00&quot;x&quot;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A8C4E8"/>
      <sz val="13"/>
    </font>
    <font>
      <name val="Calibri"/>
      <b val="1"/>
      <color rgb="00FFFFFF"/>
      <sz val="12"/>
    </font>
    <font>
      <name val="Calibri"/>
      <i val="1"/>
      <color rgb="008E9BAE"/>
      <sz val="11"/>
    </font>
    <font>
      <name val="Calibri"/>
      <color rgb="001A1A2E"/>
      <sz val="13"/>
    </font>
    <font>
      <name val="Calibri"/>
      <b val="1"/>
      <color rgb="002E5BA8"/>
      <sz val="13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1A1A2E"/>
      <sz val="13"/>
    </font>
    <font>
      <name val="Calibri"/>
      <b val="1"/>
      <color rgb="00F4A61F"/>
      <sz val="18"/>
    </font>
    <font>
      <name val="Calibri"/>
      <color rgb="00B0BEC5"/>
      <sz val="11"/>
    </font>
    <font>
      <name val="Calibri"/>
      <b val="1"/>
      <color rgb="00F4A61F"/>
      <sz val="16"/>
    </font>
    <font>
      <name val="Calibri"/>
      <b val="1"/>
      <color rgb="00FFFFFF"/>
      <sz val="16"/>
    </font>
    <font>
      <name val="Calibri"/>
      <b val="1"/>
      <color rgb="001A1A2E"/>
      <sz val="11"/>
    </font>
    <font>
      <name val="Calibri"/>
      <b val="1"/>
      <color rgb="00FFFFFF"/>
      <sz val="18"/>
    </font>
    <font>
      <name val="Calibri"/>
      <color rgb="00B0BEC5"/>
      <sz val="12"/>
    </font>
    <font>
      <name val="Calibri"/>
      <b val="1"/>
      <color rgb="001A1A2E"/>
      <sz val="12"/>
    </font>
    <font>
      <name val="Calibri"/>
      <color rgb="001B2A4A"/>
      <sz val="12"/>
    </font>
    <font>
      <name val="Calibri"/>
      <color rgb="008E9BAE"/>
      <sz val="12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BA8"/>
      </patternFill>
    </fill>
    <fill>
      <patternFill patternType="solid">
        <fgColor rgb="00F5F7FA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FFF9C4"/>
      </patternFill>
    </fill>
  </fills>
  <borders count="4">
    <border>
      <left/>
      <right/>
      <top/>
      <bottom/>
      <diagonal/>
    </border>
    <border>
      <left style="medium">
        <color rgb="00F4A61F"/>
      </left>
      <bottom style="thin">
        <color rgb="00E8ECF0"/>
      </bottom>
    </border>
    <border>
      <left style="thin">
        <color rgb="00E8ECF0"/>
      </left>
      <right style="thin">
        <color rgb="00E8ECF0"/>
      </right>
      <top style="thin">
        <color rgb="00E8ECF0"/>
      </top>
      <bottom style="thin">
        <color rgb="00E8ECF0"/>
      </bottom>
    </border>
    <border>
      <bottom style="thin">
        <color rgb="00E8ECF0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164" fontId="12" fillId="2" borderId="0" applyAlignment="1" pivotButton="0" quotePrefix="0" xfId="0">
      <alignment horizontal="center" vertical="center"/>
    </xf>
    <xf numFmtId="164" fontId="13" fillId="3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164" fontId="13" fillId="7" borderId="0" applyAlignment="1" pivotButton="0" quotePrefix="0" xfId="0">
      <alignment horizontal="center" vertical="center"/>
    </xf>
    <xf numFmtId="164" fontId="12" fillId="3" borderId="0" applyAlignment="1" pivotButton="0" quotePrefix="0" xfId="0">
      <alignment horizontal="center" vertical="center"/>
    </xf>
    <xf numFmtId="165" fontId="12" fillId="3" borderId="0" applyAlignment="1" pivotButton="0" quotePrefix="0" xfId="0">
      <alignment horizontal="center" vertical="center"/>
    </xf>
    <xf numFmtId="49" fontId="12" fillId="2" borderId="0" applyAlignment="1" pivotButton="0" quotePrefix="0" xfId="0">
      <alignment horizontal="center" vertical="center"/>
    </xf>
    <xf numFmtId="0" fontId="14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0" fillId="4" borderId="3" pivotButton="0" quotePrefix="0" xfId="0"/>
    <xf numFmtId="164" fontId="5" fillId="5" borderId="2" applyAlignment="1" pivotButton="0" quotePrefix="0" xfId="0">
      <alignment horizontal="right" vertical="center"/>
    </xf>
    <xf numFmtId="0" fontId="4" fillId="4" borderId="3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6" borderId="3" pivotButton="0" quotePrefix="0" xfId="0"/>
    <xf numFmtId="0" fontId="4" fillId="6" borderId="3" applyAlignment="1" pivotButton="0" quotePrefix="0" xfId="0">
      <alignment horizontal="left" vertical="center"/>
    </xf>
    <xf numFmtId="9" fontId="5" fillId="5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10" fontId="5" fillId="5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164" fontId="8" fillId="2" borderId="0" applyAlignment="1" pivotButton="0" quotePrefix="0" xfId="0">
      <alignment horizontal="right" vertical="center"/>
    </xf>
    <xf numFmtId="10" fontId="6" fillId="4" borderId="2" applyAlignment="1" pivotButton="0" quotePrefix="0" xfId="0">
      <alignment horizontal="right" vertical="center"/>
    </xf>
    <xf numFmtId="49" fontId="8" fillId="2" borderId="0" applyAlignment="1" pivotButton="0" quotePrefix="0" xfId="0">
      <alignment horizontal="right" vertical="center"/>
    </xf>
    <xf numFmtId="166" fontId="6" fillId="4" borderId="2" applyAlignment="1" pivotButton="0" quotePrefix="0" xfId="0">
      <alignment horizontal="right" vertical="center"/>
    </xf>
    <xf numFmtId="167" fontId="6" fillId="4" borderId="2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164" fontId="9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7" fontId="9" fillId="6" borderId="2" applyAlignment="1" pivotButton="0" quotePrefix="0" xfId="0">
      <alignment horizontal="right" vertical="center"/>
    </xf>
    <xf numFmtId="166" fontId="9" fillId="4" borderId="2" applyAlignment="1" pivotButton="0" quotePrefix="0" xfId="0">
      <alignment horizontal="right" vertical="center"/>
    </xf>
    <xf numFmtId="10" fontId="9" fillId="6" borderId="2" applyAlignment="1" pivotButton="0" quotePrefix="0" xfId="0">
      <alignment horizontal="right" vertical="center"/>
    </xf>
    <xf numFmtId="49" fontId="9" fillId="4" borderId="2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5" fontId="12" fillId="3" borderId="0" applyAlignment="1" pivotButton="0" quotePrefix="0" xfId="0">
      <alignment horizontal="center" vertical="center"/>
    </xf>
    <xf numFmtId="166" fontId="6" fillId="4" borderId="2" applyAlignment="1" pivotButton="0" quotePrefix="0" xfId="0">
      <alignment horizontal="right" vertical="center"/>
    </xf>
    <xf numFmtId="166" fontId="9" fillId="4" borderId="2" applyAlignment="1" pivotButton="0" quotePrefix="0" xfId="0">
      <alignment horizontal="right" vertical="center"/>
    </xf>
    <xf numFmtId="0" fontId="0" fillId="2" borderId="0" pivotButton="0" quotePrefix="0" xfId="0"/>
    <xf numFmtId="0" fontId="15" fillId="2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164" fontId="12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center" vertical="center"/>
    </xf>
    <xf numFmtId="49" fontId="12" fillId="0" borderId="0" applyAlignment="1" pivotButton="0" quotePrefix="0" xfId="0">
      <alignment horizontal="center" vertical="center"/>
    </xf>
    <xf numFmtId="0" fontId="17" fillId="0" borderId="0" applyProtection="1" pivotButton="0" quotePrefix="0" xfId="0">
      <protection locked="0" hidden="0"/>
    </xf>
    <xf numFmtId="0" fontId="18" fillId="0" borderId="0" applyProtection="1" pivotButton="0" quotePrefix="0" xfId="0">
      <protection locked="0" hidden="0"/>
    </xf>
    <xf numFmtId="0" fontId="18" fillId="0" borderId="0" pivotButton="0" quotePrefix="0" xfId="0"/>
    <xf numFmtId="0" fontId="3" fillId="0" borderId="0" applyAlignment="1" applyProtection="1" pivotButton="0" quotePrefix="0" xfId="0">
      <alignment horizontal="left" vertical="center"/>
      <protection locked="0" hidden="0"/>
    </xf>
    <xf numFmtId="0" fontId="19" fillId="0" borderId="0" applyAlignment="1" applyProtection="1" pivotButton="0" quotePrefix="0" xfId="0">
      <alignment horizontal="left" vertical="center"/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0" fontId="0" fillId="4" borderId="3" applyProtection="1" pivotButton="0" quotePrefix="0" xfId="0">
      <protection locked="0" hidden="0"/>
    </xf>
    <xf numFmtId="164" fontId="5" fillId="8" borderId="2" applyAlignment="1" applyProtection="1" pivotButton="0" quotePrefix="0" xfId="0">
      <alignment horizontal="right" vertical="center"/>
      <protection locked="0" hidden="0"/>
    </xf>
    <xf numFmtId="0" fontId="19" fillId="0" borderId="3" applyAlignment="1" applyProtection="1" pivotButton="0" quotePrefix="0" xfId="0">
      <alignment horizontal="left" vertical="center"/>
      <protection locked="0" hidden="0"/>
    </xf>
    <xf numFmtId="0" fontId="0" fillId="6" borderId="3" applyProtection="1" pivotButton="0" quotePrefix="0" xfId="0">
      <protection locked="0" hidden="0"/>
    </xf>
    <xf numFmtId="9" fontId="5" fillId="8" borderId="2" applyAlignment="1" applyProtection="1" pivotButton="0" quotePrefix="0" xfId="0">
      <alignment horizontal="right" vertical="center"/>
      <protection locked="0" hidden="0"/>
    </xf>
    <xf numFmtId="164" fontId="6" fillId="0" borderId="2" applyAlignment="1" pivotButton="0" quotePrefix="0" xfId="0">
      <alignment horizontal="right" vertical="center"/>
    </xf>
    <xf numFmtId="10" fontId="5" fillId="8" borderId="2" applyAlignment="1" applyProtection="1" pivotButton="0" quotePrefix="0" xfId="0">
      <alignment horizontal="right" vertical="center"/>
      <protection locked="0" hidden="0"/>
    </xf>
    <xf numFmtId="3" fontId="5" fillId="8" borderId="2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left" vertical="center"/>
      <protection locked="0" hidden="0"/>
    </xf>
    <xf numFmtId="164" fontId="8" fillId="0" borderId="0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49" fontId="8" fillId="0" borderId="0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7" fontId="6" fillId="0" borderId="2" applyAlignment="1" pivotButton="0" quotePrefix="0" xfId="0">
      <alignment horizontal="right" vertical="center"/>
    </xf>
    <xf numFmtId="0" fontId="7" fillId="0" borderId="0" applyAlignment="1" applyProtection="1" pivotButton="0" quotePrefix="0" xfId="0">
      <alignment horizontal="center" vertical="center"/>
      <protection locked="0" hidden="0"/>
    </xf>
    <xf numFmtId="164" fontId="9" fillId="0" borderId="2" applyAlignment="1" pivotButton="0" quotePrefix="0" xfId="0">
      <alignment horizontal="right" vertical="center"/>
    </xf>
    <xf numFmtId="0" fontId="19" fillId="0" borderId="2" applyAlignment="1" applyProtection="1" pivotButton="0" quotePrefix="0" xfId="0">
      <alignment horizontal="center" vertical="center"/>
      <protection locked="0" hidden="0"/>
    </xf>
    <xf numFmtId="0" fontId="9" fillId="0" borderId="2" applyAlignment="1" pivotButton="0" quotePrefix="0" xfId="0">
      <alignment horizontal="center" vertical="center"/>
    </xf>
    <xf numFmtId="0" fontId="9" fillId="6" borderId="2" applyAlignment="1" applyProtection="1" pivotButton="0" quotePrefix="0" xfId="0">
      <alignment horizontal="center" vertical="center"/>
      <protection locked="0" hidden="0"/>
    </xf>
    <xf numFmtId="167" fontId="9" fillId="0" borderId="2" applyAlignment="1" pivotButton="0" quotePrefix="0" xfId="0">
      <alignment horizontal="right" vertical="center"/>
    </xf>
    <xf numFmtId="166" fontId="9" fillId="0" borderId="2" applyAlignment="1" pivotButton="0" quotePrefix="0" xfId="0">
      <alignment horizontal="right" vertical="center"/>
    </xf>
    <xf numFmtId="10" fontId="9" fillId="0" borderId="2" applyAlignment="1" pivotButton="0" quotePrefix="0" xfId="0">
      <alignment horizontal="right" vertical="center"/>
    </xf>
    <xf numFmtId="49" fontId="9" fillId="0" borderId="2" applyAlignment="1" pivotButton="0" quotePrefix="0" xfId="0">
      <alignment horizontal="right" vertical="center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10" fillId="0" borderId="0" applyAlignment="1" pivotButton="0" quotePrefix="0" xfId="0">
      <alignment horizontal="center" vertical="center"/>
    </xf>
    <xf numFmtId="0" fontId="5" fillId="0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Flow Analysis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'Dashboard'!I15</f>
            </strRef>
          </tx>
          <spPr>
            <a:solidFill xmlns:a="http://schemas.openxmlformats.org/drawingml/2006/main">
              <a:srgbClr val="F4A61F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'Dashboard'!$H$16:$H$18</f>
            </numRef>
          </cat>
          <val>
            <numRef>
              <f>'Dashboard'!$I$16:$I$18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1.2" customWidth="1" min="1" max="1"/>
    <col width="22" customWidth="1" min="2" max="2"/>
    <col width="2" customWidth="1" min="3" max="3"/>
    <col width="22" customWidth="1" min="4" max="4"/>
    <col width="2" customWidth="1" min="5" max="5"/>
    <col width="22" customWidth="1" min="6" max="6"/>
    <col width="2" customWidth="1" min="7" max="7"/>
    <col width="22" customWidth="1" min="8" max="8"/>
    <col width="14" customWidth="1" min="9" max="9"/>
  </cols>
  <sheetData>
    <row r="1" ht="36" customHeight="1">
      <c r="A1" s="51" t="n"/>
      <c r="B1" s="52" t="inlineStr">
        <is>
          <t>MyClearBudget — Dashboard</t>
        </is>
      </c>
    </row>
    <row r="2" ht="44" customHeight="1">
      <c r="A2" s="51" t="n"/>
      <c r="B2" s="53" t="inlineStr">
        <is>
          <t>BRRRR Strategy Calculator</t>
        </is>
      </c>
      <c r="C2" s="54" t="n"/>
      <c r="D2" s="54" t="n"/>
      <c r="E2" s="54" t="n"/>
      <c r="F2" s="54" t="n"/>
      <c r="G2" s="54" t="n"/>
      <c r="H2" s="54" t="n"/>
      <c r="I2" s="54" t="n"/>
    </row>
    <row r="3" ht="22" customHeight="1">
      <c r="A3" s="51" t="n"/>
      <c r="B3" s="55" t="inlineStr">
        <is>
          <t>Buy · Rehab · Rent · Refinance · Repeat — Trailhead Standard</t>
        </is>
      </c>
      <c r="C3" s="54" t="n"/>
      <c r="D3" s="54" t="n"/>
      <c r="E3" s="54" t="n"/>
      <c r="F3" s="54" t="n"/>
      <c r="G3" s="54" t="n"/>
      <c r="H3" s="54" t="n"/>
      <c r="I3" s="54" t="n"/>
    </row>
    <row r="4" ht="10" customHeight="1">
      <c r="A4" s="51" t="n"/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8" customHeight="1">
      <c r="A5" s="51" t="n"/>
      <c r="B5" s="54" t="n"/>
      <c r="C5" s="54" t="n"/>
      <c r="D5" s="54" t="n"/>
      <c r="E5" s="54" t="n"/>
      <c r="F5" s="54" t="n"/>
      <c r="G5" s="54" t="n"/>
      <c r="H5" s="54" t="n"/>
      <c r="I5" s="54" t="n"/>
    </row>
    <row r="6" ht="20" customHeight="1">
      <c r="A6" s="51" t="n"/>
      <c r="B6" s="56" t="inlineStr">
        <is>
          <t>Initial Cash Invested</t>
        </is>
      </c>
      <c r="C6" s="54" t="n"/>
      <c r="D6" s="56" t="inlineStr">
        <is>
          <t>After Repair Value (ARV)</t>
        </is>
      </c>
      <c r="E6" s="54" t="n"/>
      <c r="F6" s="56" t="inlineStr">
        <is>
          <t>Refinance Loan Amount</t>
        </is>
      </c>
      <c r="G6" s="54" t="n"/>
      <c r="H6" s="54" t="n"/>
      <c r="I6" s="54" t="n"/>
    </row>
    <row r="7" ht="30" customHeight="1">
      <c r="A7" s="51" t="n"/>
      <c r="B7" s="57">
        <f>'Refinance Analysis'!D17</f>
        <v/>
      </c>
      <c r="C7" s="54" t="n"/>
      <c r="D7" s="58">
        <f>'Refinance Analysis'!D7</f>
        <v/>
      </c>
      <c r="E7" s="54" t="n"/>
      <c r="F7" s="57">
        <f>'Refinance Analysis'!D9</f>
        <v/>
      </c>
      <c r="G7" s="54" t="n"/>
      <c r="H7" s="54" t="n"/>
      <c r="I7" s="54" t="n"/>
    </row>
    <row r="8" ht="8" customHeight="1">
      <c r="A8" s="51" t="n"/>
      <c r="B8" s="54" t="n"/>
      <c r="C8" s="54" t="n"/>
      <c r="D8" s="54" t="n"/>
      <c r="E8" s="54" t="n"/>
      <c r="F8" s="54" t="n"/>
      <c r="G8" s="54" t="n"/>
      <c r="H8" s="54" t="n"/>
      <c r="I8" s="54" t="n"/>
    </row>
    <row r="9" ht="20" customHeight="1">
      <c r="A9" s="51" t="n"/>
      <c r="B9" s="56" t="inlineStr">
        <is>
          <t>Cash Pulled Out</t>
        </is>
      </c>
      <c r="C9" s="54" t="n"/>
      <c r="D9" s="56" t="inlineStr">
        <is>
          <t>Equity Remaining</t>
        </is>
      </c>
      <c r="E9" s="54" t="n"/>
      <c r="F9" s="56" t="inlineStr">
        <is>
          <t>Monthly Cash Flow</t>
        </is>
      </c>
      <c r="G9" s="54" t="n"/>
      <c r="H9" s="54" t="n"/>
      <c r="I9" s="54" t="n"/>
    </row>
    <row r="10" ht="30" customHeight="1">
      <c r="A10" s="51" t="n"/>
      <c r="B10" s="58">
        <f>'Refinance Analysis'!D18</f>
        <v/>
      </c>
      <c r="C10" s="54" t="n"/>
      <c r="D10" s="57">
        <f>'Refinance Analysis'!D20</f>
        <v/>
      </c>
      <c r="E10" s="54" t="n"/>
      <c r="F10" s="57">
        <f>'Cash Flow Analysis'!D11</f>
        <v/>
      </c>
      <c r="G10" s="54" t="n"/>
      <c r="H10" s="54" t="n"/>
      <c r="I10" s="54" t="n"/>
    </row>
    <row r="11" ht="8" customHeight="1">
      <c r="A11" s="51" t="n"/>
      <c r="B11" s="54" t="n"/>
      <c r="C11" s="54" t="n"/>
      <c r="D11" s="54" t="n"/>
      <c r="E11" s="54" t="n"/>
      <c r="F11" s="54" t="n"/>
      <c r="G11" s="54" t="n"/>
      <c r="H11" s="54" t="n"/>
      <c r="I11" s="54" t="n"/>
    </row>
    <row r="12" ht="20" customHeight="1">
      <c r="A12" s="51" t="n"/>
      <c r="B12" s="56" t="inlineStr">
        <is>
          <t>Annual Cash Flow</t>
        </is>
      </c>
      <c r="C12" s="54" t="n"/>
      <c r="D12" s="56" t="inlineStr">
        <is>
          <t>Cash-on-Cash Return</t>
        </is>
      </c>
      <c r="E12" s="54" t="n"/>
      <c r="F12" s="56" t="inlineStr">
        <is>
          <t>Infinite Return?</t>
        </is>
      </c>
      <c r="G12" s="54" t="n"/>
      <c r="H12" s="54" t="n"/>
      <c r="I12" s="54" t="n"/>
    </row>
    <row r="13" ht="30" customHeight="1">
      <c r="A13" s="51" t="n"/>
      <c r="B13" s="57">
        <f>'Cash Flow Analysis'!D12</f>
        <v/>
      </c>
      <c r="C13" s="54" t="n"/>
      <c r="D13" s="59">
        <f>IF('Refinance Analysis'!D19&lt;=0,"Infinite",IF('Refinance Analysis'!D19&gt;0,'Cash Flow Analysis'!D12/'Refinance Analysis'!D19,0))</f>
        <v/>
      </c>
      <c r="E13" s="54" t="n"/>
      <c r="F13" s="60">
        <f>IF('Refinance Analysis'!D19&lt;=0,"YES","No")</f>
        <v/>
      </c>
      <c r="G13" s="54" t="n"/>
      <c r="H13" s="54" t="n"/>
      <c r="I13" s="54" t="n"/>
    </row>
    <row r="14" ht="12" customHeight="1">
      <c r="A14" s="51" t="n"/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>
      <c r="A15" s="51" t="n"/>
      <c r="B15" s="54" t="n"/>
      <c r="C15" s="54" t="n"/>
      <c r="D15" s="54" t="n"/>
      <c r="E15" s="54" t="n"/>
      <c r="F15" s="54" t="n"/>
      <c r="G15" s="54" t="n"/>
      <c r="H15" s="61" t="inlineStr">
        <is>
          <t>Category</t>
        </is>
      </c>
      <c r="I15" s="61" t="inlineStr">
        <is>
          <t>Amount</t>
        </is>
      </c>
    </row>
    <row r="16">
      <c r="A16" s="51" t="n"/>
      <c r="B16" s="54" t="n"/>
      <c r="C16" s="54" t="n"/>
      <c r="D16" s="54" t="n"/>
      <c r="E16" s="54" t="n"/>
      <c r="F16" s="54" t="n"/>
      <c r="G16" s="54" t="n"/>
      <c r="H16" s="62" t="inlineStr">
        <is>
          <t>Initial Cash Invested</t>
        </is>
      </c>
      <c r="I16" s="63">
        <f>'Refinance Analysis'!D17</f>
        <v/>
      </c>
    </row>
    <row r="17">
      <c r="A17" s="51" t="n"/>
      <c r="B17" s="54" t="n"/>
      <c r="C17" s="54" t="n"/>
      <c r="D17" s="54" t="n"/>
      <c r="E17" s="54" t="n"/>
      <c r="F17" s="54" t="n"/>
      <c r="G17" s="54" t="n"/>
      <c r="H17" s="62" t="inlineStr">
        <is>
          <t>Cash Pulled Out</t>
        </is>
      </c>
      <c r="I17" s="63">
        <f>'Refinance Analysis'!D18</f>
        <v/>
      </c>
    </row>
    <row r="18">
      <c r="A18" s="51" t="n"/>
      <c r="B18" s="54" t="n"/>
      <c r="C18" s="54" t="n"/>
      <c r="D18" s="54" t="n"/>
      <c r="E18" s="54" t="n"/>
      <c r="F18" s="54" t="n"/>
      <c r="G18" s="54" t="n"/>
      <c r="H18" s="62" t="inlineStr">
        <is>
          <t>Equity Remaining</t>
        </is>
      </c>
      <c r="I18" s="63">
        <f>'Refinance Analysis'!D20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2:F2"/>
    <mergeCell ref="B1:I1"/>
    <mergeCell ref="B3:F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5BA8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1.2" customWidth="1" min="1" max="1"/>
    <col width="32" customWidth="1" min="2" max="2"/>
    <col width="4" customWidth="1" min="3" max="3"/>
    <col width="18" customWidth="1" min="4" max="4"/>
    <col width="4" customWidth="1" min="5" max="5"/>
    <col width="24" customWidth="1" min="6" max="6"/>
    <col width="2" customWidth="1" min="7" max="7"/>
  </cols>
  <sheetData>
    <row r="1" ht="36" customHeight="1">
      <c r="A1" s="51" t="n"/>
      <c r="B1" s="52" t="inlineStr">
        <is>
          <t>MyClearBudget — Purchase &amp; Rehab</t>
        </is>
      </c>
    </row>
    <row r="2" ht="40" customHeight="1">
      <c r="A2" s="51" t="n"/>
      <c r="B2" s="53" t="inlineStr">
        <is>
          <t>BRRRR Strategy Calculator</t>
        </is>
      </c>
      <c r="C2" s="54" t="n"/>
      <c r="D2" s="54" t="n"/>
      <c r="E2" s="54" t="n"/>
      <c r="F2" s="54" t="n"/>
      <c r="G2" s="54" t="n"/>
    </row>
    <row r="3" ht="22" customHeight="1">
      <c r="A3" s="51" t="n"/>
      <c r="B3" s="55" t="inlineStr">
        <is>
          <t>Purchase &amp; Rehab — Step 1: What did you buy and invest?</t>
        </is>
      </c>
      <c r="C3" s="54" t="n"/>
      <c r="D3" s="54" t="n"/>
      <c r="E3" s="54" t="n"/>
      <c r="F3" s="54" t="n"/>
      <c r="G3" s="54" t="n"/>
    </row>
    <row r="4" ht="8" customHeight="1">
      <c r="A4" s="51" t="n"/>
      <c r="B4" s="54" t="n"/>
      <c r="C4" s="54" t="n"/>
      <c r="D4" s="54" t="n"/>
      <c r="E4" s="54" t="n"/>
      <c r="F4" s="54" t="n"/>
      <c r="G4" s="54" t="n"/>
    </row>
    <row r="5" ht="22" customHeight="1">
      <c r="A5" s="51" t="n"/>
      <c r="B5" s="64" t="inlineStr">
        <is>
          <t>ACQUISITION COSTS</t>
        </is>
      </c>
      <c r="C5" s="54" t="n"/>
      <c r="D5" s="54" t="n"/>
      <c r="E5" s="54" t="n"/>
      <c r="F5" s="54" t="n"/>
      <c r="G5" s="54" t="n"/>
    </row>
    <row r="6" ht="16" customHeight="1">
      <c r="A6" s="51" t="n"/>
      <c r="B6" s="65" t="inlineStr">
        <is>
          <t>Enter yellow cells. Blue cells calculate automatically.</t>
        </is>
      </c>
      <c r="C6" s="54" t="n"/>
      <c r="D6" s="54" t="n"/>
      <c r="E6" s="54" t="n"/>
      <c r="F6" s="54" t="n"/>
      <c r="G6" s="54" t="n"/>
    </row>
    <row r="7" ht="20" customHeight="1">
      <c r="A7" s="51" t="n"/>
      <c r="B7" s="66" t="inlineStr">
        <is>
          <t>Purchase Price</t>
        </is>
      </c>
      <c r="C7" s="67" t="n"/>
      <c r="D7" s="68" t="n">
        <v>120000</v>
      </c>
      <c r="E7" s="54" t="n"/>
      <c r="F7" s="69" t="inlineStr">
        <is>
          <t>The price you paid for the property</t>
        </is>
      </c>
      <c r="G7" s="54" t="n"/>
    </row>
    <row r="8" ht="20" customHeight="1">
      <c r="A8" s="51" t="n"/>
      <c r="B8" s="66" t="inlineStr">
        <is>
          <t>Purchase Closing Costs</t>
        </is>
      </c>
      <c r="C8" s="70" t="n"/>
      <c r="D8" s="68" t="n">
        <v>3000</v>
      </c>
      <c r="E8" s="54" t="n"/>
      <c r="F8" s="69" t="inlineStr">
        <is>
          <t>Title, escrow, lender fees, etc.</t>
        </is>
      </c>
      <c r="G8" s="54" t="n"/>
    </row>
    <row r="9" ht="8" customHeight="1">
      <c r="A9" s="51" t="n"/>
      <c r="B9" s="54" t="n"/>
      <c r="C9" s="54" t="n"/>
      <c r="D9" s="54" t="n"/>
      <c r="E9" s="54" t="n"/>
      <c r="F9" s="54" t="n"/>
      <c r="G9" s="54" t="n"/>
    </row>
    <row r="10" ht="22" customHeight="1">
      <c r="A10" s="51" t="n"/>
      <c r="B10" s="64" t="inlineStr">
        <is>
          <t>REHAB &amp; RENOVATION</t>
        </is>
      </c>
      <c r="C10" s="54" t="n"/>
      <c r="D10" s="54" t="n"/>
      <c r="E10" s="54" t="n"/>
      <c r="F10" s="54" t="n"/>
      <c r="G10" s="54" t="n"/>
    </row>
    <row r="11" ht="16" customHeight="1">
      <c r="A11" s="51" t="n"/>
      <c r="B11" s="65" t="inlineStr">
        <is>
          <t>Enter your rehab budget. Contingency is calculated automatically.</t>
        </is>
      </c>
      <c r="C11" s="54" t="n"/>
      <c r="D11" s="54" t="n"/>
      <c r="E11" s="54" t="n"/>
      <c r="F11" s="54" t="n"/>
      <c r="G11" s="54" t="n"/>
    </row>
    <row r="12" ht="20" customHeight="1">
      <c r="A12" s="51" t="n"/>
      <c r="B12" s="66" t="inlineStr">
        <is>
          <t>Rehab / Renovation Budget</t>
        </is>
      </c>
      <c r="C12" s="70" t="n"/>
      <c r="D12" s="68" t="n">
        <v>35000</v>
      </c>
      <c r="E12" s="54" t="n"/>
      <c r="F12" s="69" t="inlineStr">
        <is>
          <t>Total estimated renovation costs</t>
        </is>
      </c>
      <c r="G12" s="54" t="n"/>
    </row>
    <row r="13" ht="20" customHeight="1">
      <c r="A13" s="51" t="n"/>
      <c r="B13" s="66" t="inlineStr">
        <is>
          <t>Contingency %</t>
        </is>
      </c>
      <c r="C13" s="67" t="n"/>
      <c r="D13" s="71" t="n">
        <v>0.1</v>
      </c>
      <c r="E13" s="54" t="n"/>
      <c r="F13" s="69" t="inlineStr">
        <is>
          <t>Buffer for overruns (10% recommended)</t>
        </is>
      </c>
      <c r="G13" s="54" t="n"/>
    </row>
    <row r="14" ht="20" customHeight="1">
      <c r="A14" s="51" t="n"/>
      <c r="B14" s="66" t="inlineStr">
        <is>
          <t>Contingency Amount</t>
        </is>
      </c>
      <c r="C14" s="70" t="n"/>
      <c r="D14" s="72">
        <f>'Purchase &amp; Rehab'!D12*'Purchase &amp; Rehab'!D13</f>
        <v/>
      </c>
      <c r="E14" s="54" t="n"/>
      <c r="F14" s="69" t="inlineStr">
        <is>
          <t>Auto-calculated</t>
        </is>
      </c>
      <c r="G14" s="54" t="n"/>
    </row>
    <row r="15" ht="8" customHeight="1">
      <c r="A15" s="51" t="n"/>
      <c r="B15" s="54" t="n"/>
      <c r="C15" s="54" t="n"/>
      <c r="D15" s="54" t="n"/>
      <c r="E15" s="54" t="n"/>
      <c r="F15" s="54" t="n"/>
      <c r="G15" s="54" t="n"/>
    </row>
    <row r="16" ht="22" customHeight="1">
      <c r="A16" s="51" t="n"/>
      <c r="B16" s="64" t="inlineStr">
        <is>
          <t>INITIAL FINANCING (Optional — leave 0 for cash purchase)</t>
        </is>
      </c>
      <c r="C16" s="54" t="n"/>
      <c r="D16" s="54" t="n"/>
      <c r="E16" s="54" t="n"/>
      <c r="F16" s="54" t="n"/>
      <c r="G16" s="54" t="n"/>
    </row>
    <row r="17" ht="16" customHeight="1">
      <c r="A17" s="51" t="n"/>
      <c r="B17" s="65" t="inlineStr">
        <is>
          <t>If you used hard money or a loan for acquisition, enter details here.</t>
        </is>
      </c>
      <c r="C17" s="54" t="n"/>
      <c r="D17" s="54" t="n"/>
      <c r="E17" s="54" t="n"/>
      <c r="F17" s="54" t="n"/>
      <c r="G17" s="54" t="n"/>
    </row>
    <row r="18" ht="20" customHeight="1">
      <c r="A18" s="51" t="n"/>
      <c r="B18" s="66" t="inlineStr">
        <is>
          <t>Down Payment %</t>
        </is>
      </c>
      <c r="C18" s="70" t="n"/>
      <c r="D18" s="71" t="n">
        <v>0</v>
      </c>
      <c r="E18" s="54" t="n"/>
      <c r="F18" s="69" t="inlineStr">
        <is>
          <t>0% = all-cash purchase</t>
        </is>
      </c>
      <c r="G18" s="54" t="n"/>
    </row>
    <row r="19" ht="20" customHeight="1">
      <c r="A19" s="51" t="n"/>
      <c r="B19" s="66" t="inlineStr">
        <is>
          <t>Initial Loan Amount</t>
        </is>
      </c>
      <c r="C19" s="67" t="n"/>
      <c r="D19" s="72">
        <f>'Purchase &amp; Rehab'!D7*(1-'Purchase &amp; Rehab'!D18)</f>
        <v/>
      </c>
      <c r="E19" s="54" t="n"/>
      <c r="F19" s="69" t="inlineStr">
        <is>
          <t>Auto-calculated</t>
        </is>
      </c>
      <c r="G19" s="54" t="n"/>
    </row>
    <row r="20" ht="20" customHeight="1">
      <c r="A20" s="51" t="n"/>
      <c r="B20" s="66" t="inlineStr">
        <is>
          <t>Hard Money Rate %</t>
        </is>
      </c>
      <c r="C20" s="70" t="n"/>
      <c r="D20" s="73" t="n">
        <v>0.12</v>
      </c>
      <c r="E20" s="54" t="n"/>
      <c r="F20" s="69" t="inlineStr">
        <is>
          <t>Annual interest rate</t>
        </is>
      </c>
      <c r="G20" s="54" t="n"/>
    </row>
    <row r="21" ht="20" customHeight="1">
      <c r="A21" s="51" t="n"/>
      <c r="B21" s="66" t="inlineStr">
        <is>
          <t>Hard Money Term (months)</t>
        </is>
      </c>
      <c r="C21" s="67" t="n"/>
      <c r="D21" s="74" t="n">
        <v>12</v>
      </c>
      <c r="E21" s="54" t="n"/>
      <c r="F21" s="69" t="inlineStr">
        <is>
          <t>Typical 6–18 months</t>
        </is>
      </c>
      <c r="G21" s="54" t="n"/>
    </row>
    <row r="22" ht="20" customHeight="1">
      <c r="A22" s="51" t="n"/>
      <c r="B22" s="66" t="inlineStr">
        <is>
          <t>Monthly Hard Money Payment</t>
        </is>
      </c>
      <c r="C22" s="70" t="n"/>
      <c r="D22" s="72">
        <f>IF('Purchase &amp; Rehab'!D19&gt;0,PMT('Purchase &amp; Rehab'!D20/12,'Purchase &amp; Rehab'!D21,-'Purchase &amp; Rehab'!D19),0)</f>
        <v/>
      </c>
      <c r="E22" s="54" t="n"/>
      <c r="F22" s="69" t="inlineStr">
        <is>
          <t>Auto-calculated (PMT)</t>
        </is>
      </c>
      <c r="G22" s="54" t="n"/>
    </row>
    <row r="23" ht="10" customHeight="1">
      <c r="A23" s="51" t="n"/>
      <c r="B23" s="54" t="n"/>
      <c r="C23" s="54" t="n"/>
      <c r="D23" s="54" t="n"/>
      <c r="E23" s="54" t="n"/>
      <c r="F23" s="54" t="n"/>
      <c r="G23" s="54" t="n"/>
    </row>
    <row r="24" ht="24" customHeight="1">
      <c r="A24" s="51" t="n"/>
      <c r="B24" s="75" t="inlineStr">
        <is>
          <t>TOTAL PROJECT COST</t>
        </is>
      </c>
      <c r="C24" s="54" t="n"/>
      <c r="D24" s="54" t="n"/>
      <c r="E24" s="76">
        <f>'Purchase &amp; Rehab'!D7+'Purchase &amp; Rehab'!D8+'Purchase &amp; Rehab'!D12+'Purchase &amp; Rehab'!D14</f>
        <v/>
      </c>
      <c r="F24" s="54" t="n"/>
      <c r="G24" s="5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0">
    <mergeCell ref="B3:G3"/>
    <mergeCell ref="B2:G2"/>
    <mergeCell ref="B16:F16"/>
    <mergeCell ref="B10:F10"/>
    <mergeCell ref="B17:G17"/>
    <mergeCell ref="B5:F5"/>
    <mergeCell ref="B1:F1"/>
    <mergeCell ref="B24:D24"/>
    <mergeCell ref="B11:G11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BA8"/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1.2" customWidth="1" min="1" max="1"/>
    <col width="32" customWidth="1" min="2" max="2"/>
    <col width="4" customWidth="1" min="3" max="3"/>
    <col width="18" customWidth="1" min="4" max="4"/>
    <col width="4" customWidth="1" min="5" max="5"/>
    <col width="24" customWidth="1" min="6" max="6"/>
    <col width="2" customWidth="1" min="7" max="7"/>
  </cols>
  <sheetData>
    <row r="1" ht="36" customHeight="1">
      <c r="A1" s="51" t="n"/>
      <c r="B1" s="52" t="inlineStr">
        <is>
          <t>MyClearBudget — Rental Income &amp; Expenses</t>
        </is>
      </c>
    </row>
    <row r="2" ht="40" customHeight="1">
      <c r="A2" s="51" t="n"/>
      <c r="B2" s="53" t="inlineStr">
        <is>
          <t>BRRRR Strategy Calculator</t>
        </is>
      </c>
      <c r="C2" s="54" t="n"/>
      <c r="D2" s="54" t="n"/>
      <c r="E2" s="54" t="n"/>
      <c r="F2" s="54" t="n"/>
      <c r="G2" s="54" t="n"/>
    </row>
    <row r="3" ht="22" customHeight="1">
      <c r="A3" s="51" t="n"/>
      <c r="B3" s="55" t="inlineStr">
        <is>
          <t>Rental Income &amp; Expenses — Step 2: What will the property generate?</t>
        </is>
      </c>
      <c r="C3" s="54" t="n"/>
      <c r="D3" s="54" t="n"/>
      <c r="E3" s="54" t="n"/>
      <c r="F3" s="54" t="n"/>
      <c r="G3" s="54" t="n"/>
    </row>
    <row r="4" ht="8" customHeight="1">
      <c r="A4" s="51" t="n"/>
      <c r="B4" s="54" t="n"/>
      <c r="C4" s="54" t="n"/>
      <c r="D4" s="54" t="n"/>
      <c r="E4" s="54" t="n"/>
      <c r="F4" s="54" t="n"/>
      <c r="G4" s="54" t="n"/>
    </row>
    <row r="5" ht="22" customHeight="1">
      <c r="A5" s="51" t="n"/>
      <c r="B5" s="64" t="inlineStr">
        <is>
          <t>RENTAL INCOME</t>
        </is>
      </c>
      <c r="C5" s="54" t="n"/>
      <c r="D5" s="54" t="n"/>
      <c r="E5" s="54" t="n"/>
      <c r="F5" s="54" t="n"/>
      <c r="G5" s="54" t="n"/>
    </row>
    <row r="6" ht="16" customHeight="1">
      <c r="A6" s="51" t="n"/>
      <c r="B6" s="65" t="inlineStr">
        <is>
          <t>Enter yellow cells. Blue cells calculate automatically.</t>
        </is>
      </c>
      <c r="C6" s="54" t="n"/>
      <c r="D6" s="54" t="n"/>
      <c r="E6" s="54" t="n"/>
      <c r="F6" s="54" t="n"/>
      <c r="G6" s="54" t="n"/>
    </row>
    <row r="7" ht="20" customHeight="1">
      <c r="A7" s="51" t="n"/>
      <c r="B7" s="66" t="inlineStr">
        <is>
          <t>Monthly Gross Rent</t>
        </is>
      </c>
      <c r="C7" s="67" t="n"/>
      <c r="D7" s="68" t="n">
        <v>1650</v>
      </c>
      <c r="E7" s="54" t="n"/>
      <c r="F7" s="69" t="inlineStr">
        <is>
          <t>Full market rent (no vacancy deduction)</t>
        </is>
      </c>
      <c r="G7" s="54" t="n"/>
    </row>
    <row r="8" ht="20" customHeight="1">
      <c r="A8" s="51" t="n"/>
      <c r="B8" s="66" t="inlineStr">
        <is>
          <t>Vacancy Rate %</t>
        </is>
      </c>
      <c r="C8" s="70" t="n"/>
      <c r="D8" s="71" t="n">
        <v>0.05</v>
      </c>
      <c r="E8" s="54" t="n"/>
      <c r="F8" s="69" t="inlineStr">
        <is>
          <t>Industry standard: 5–10%</t>
        </is>
      </c>
      <c r="G8" s="54" t="n"/>
    </row>
    <row r="9" ht="20" customHeight="1">
      <c r="A9" s="51" t="n"/>
      <c r="B9" s="66" t="inlineStr">
        <is>
          <t>Effective Gross Income / Month</t>
        </is>
      </c>
      <c r="C9" s="67" t="n"/>
      <c r="D9" s="72">
        <f>'Rental Income &amp; Expenses'!D7*(1-'Rental Income &amp; Expenses'!D8)</f>
        <v/>
      </c>
      <c r="E9" s="54" t="n"/>
      <c r="F9" s="69" t="inlineStr">
        <is>
          <t>Gross Rent minus vacancy</t>
        </is>
      </c>
      <c r="G9" s="54" t="n"/>
    </row>
    <row r="10" ht="8" customHeight="1">
      <c r="A10" s="51" t="n"/>
      <c r="B10" s="54" t="n"/>
      <c r="C10" s="54" t="n"/>
      <c r="D10" s="54" t="n"/>
      <c r="E10" s="54" t="n"/>
      <c r="F10" s="54" t="n"/>
      <c r="G10" s="54" t="n"/>
    </row>
    <row r="11" ht="22" customHeight="1">
      <c r="A11" s="51" t="n"/>
      <c r="B11" s="64" t="inlineStr">
        <is>
          <t>MONTHLY OPERATING EXPENSES</t>
        </is>
      </c>
      <c r="C11" s="54" t="n"/>
      <c r="D11" s="54" t="n"/>
      <c r="E11" s="54" t="n"/>
      <c r="F11" s="54" t="n"/>
      <c r="G11" s="54" t="n"/>
    </row>
    <row r="12" ht="16" customHeight="1">
      <c r="A12" s="51" t="n"/>
      <c r="B12" s="65" t="inlineStr">
        <is>
          <t>Enter monthly amounts. Mgmt, Maintenance, and CapEx are % of gross rent.</t>
        </is>
      </c>
      <c r="C12" s="54" t="n"/>
      <c r="D12" s="54" t="n"/>
      <c r="E12" s="54" t="n"/>
      <c r="F12" s="54" t="n"/>
      <c r="G12" s="54" t="n"/>
    </row>
    <row r="13" ht="20" customHeight="1">
      <c r="A13" s="51" t="n"/>
      <c r="B13" s="66" t="inlineStr">
        <is>
          <t>Property Management %</t>
        </is>
      </c>
      <c r="C13" s="67" t="n"/>
      <c r="D13" s="71" t="n">
        <v>0.08</v>
      </c>
      <c r="E13" s="54" t="n"/>
      <c r="F13" s="69" t="inlineStr">
        <is>
          <t>% of gross rent (8% standard)</t>
        </is>
      </c>
      <c r="G13" s="54" t="n"/>
    </row>
    <row r="14" ht="20" customHeight="1">
      <c r="A14" s="51" t="n"/>
      <c r="B14" s="66" t="inlineStr">
        <is>
          <t>Property Management $</t>
        </is>
      </c>
      <c r="C14" s="70" t="n"/>
      <c r="D14" s="72">
        <f>'Rental Income &amp; Expenses'!D7*'Rental Income &amp; Expenses'!D13</f>
        <v/>
      </c>
      <c r="E14" s="54" t="n"/>
      <c r="F14" s="69" t="inlineStr">
        <is>
          <t>Auto-calculated</t>
        </is>
      </c>
      <c r="G14" s="54" t="n"/>
    </row>
    <row r="15" ht="20" customHeight="1">
      <c r="A15" s="51" t="n"/>
      <c r="B15" s="66" t="inlineStr">
        <is>
          <t>Property Taxes (monthly)</t>
        </is>
      </c>
      <c r="C15" s="67" t="n"/>
      <c r="D15" s="68" t="n">
        <v>175</v>
      </c>
      <c r="E15" s="54" t="n"/>
      <c r="F15" s="69" t="inlineStr">
        <is>
          <t>Check county records</t>
        </is>
      </c>
      <c r="G15" s="54" t="n"/>
    </row>
    <row r="16" ht="20" customHeight="1">
      <c r="A16" s="51" t="n"/>
      <c r="B16" s="66" t="inlineStr">
        <is>
          <t>Insurance (monthly)</t>
        </is>
      </c>
      <c r="C16" s="70" t="n"/>
      <c r="D16" s="68" t="n">
        <v>120</v>
      </c>
      <c r="E16" s="54" t="n"/>
      <c r="F16" s="69" t="inlineStr">
        <is>
          <t>Landlord / dwelling policy</t>
        </is>
      </c>
      <c r="G16" s="54" t="n"/>
    </row>
    <row r="17" ht="20" customHeight="1">
      <c r="A17" s="51" t="n"/>
      <c r="B17" s="66" t="inlineStr">
        <is>
          <t>HOA (monthly)</t>
        </is>
      </c>
      <c r="C17" s="67" t="n"/>
      <c r="D17" s="68" t="n">
        <v>0</v>
      </c>
      <c r="E17" s="54" t="n"/>
      <c r="F17" s="69" t="inlineStr">
        <is>
          <t>If applicable</t>
        </is>
      </c>
      <c r="G17" s="54" t="n"/>
    </row>
    <row r="18" ht="20" customHeight="1">
      <c r="A18" s="51" t="n"/>
      <c r="B18" s="66" t="inlineStr">
        <is>
          <t>Maintenance Reserve %</t>
        </is>
      </c>
      <c r="C18" s="70" t="n"/>
      <c r="D18" s="71" t="n">
        <v>0.01</v>
      </c>
      <c r="E18" s="54" t="n"/>
      <c r="F18" s="69" t="inlineStr">
        <is>
          <t>% of ARV/year — use Refinance tab ARV</t>
        </is>
      </c>
      <c r="G18" s="54" t="n"/>
    </row>
    <row r="19" ht="20" customHeight="1">
      <c r="A19" s="51" t="n"/>
      <c r="B19" s="66" t="inlineStr">
        <is>
          <t>Maintenance Reserve $ / Month</t>
        </is>
      </c>
      <c r="C19" s="67" t="n"/>
      <c r="D19" s="72">
        <f>'Refinance Analysis'!D7*'Rental Income &amp; Expenses'!D18/12</f>
        <v/>
      </c>
      <c r="E19" s="54" t="n"/>
      <c r="F19" s="69" t="inlineStr">
        <is>
          <t>1% of ARV per year</t>
        </is>
      </c>
      <c r="G19" s="54" t="n"/>
    </row>
    <row r="20" ht="20" customHeight="1">
      <c r="A20" s="51" t="n"/>
      <c r="B20" s="66" t="inlineStr">
        <is>
          <t>CapEx Reserve %</t>
        </is>
      </c>
      <c r="C20" s="70" t="n"/>
      <c r="D20" s="71" t="n">
        <v>0.01</v>
      </c>
      <c r="E20" s="54" t="n"/>
      <c r="F20" s="69" t="inlineStr">
        <is>
          <t>% of ARV/year — capital expenditures</t>
        </is>
      </c>
      <c r="G20" s="54" t="n"/>
    </row>
    <row r="21" ht="20" customHeight="1">
      <c r="A21" s="51" t="n"/>
      <c r="B21" s="66" t="inlineStr">
        <is>
          <t>CapEx Reserve $ / Month</t>
        </is>
      </c>
      <c r="C21" s="67" t="n"/>
      <c r="D21" s="72">
        <f>'Refinance Analysis'!D7*'Rental Income &amp; Expenses'!D20/12</f>
        <v/>
      </c>
      <c r="E21" s="54" t="n"/>
      <c r="F21" s="69" t="inlineStr">
        <is>
          <t>1% of ARV per year</t>
        </is>
      </c>
      <c r="G21" s="54" t="n"/>
    </row>
    <row r="22" ht="20" customHeight="1">
      <c r="A22" s="51" t="n"/>
      <c r="B22" s="66" t="inlineStr">
        <is>
          <t>Other Expenses (monthly)</t>
        </is>
      </c>
      <c r="C22" s="70" t="n"/>
      <c r="D22" s="68" t="n">
        <v>0</v>
      </c>
      <c r="E22" s="54" t="n"/>
      <c r="F22" s="69" t="inlineStr">
        <is>
          <t>Utilities, lawn care, etc.</t>
        </is>
      </c>
      <c r="G22" s="54" t="n"/>
    </row>
    <row r="23" ht="8" customHeight="1">
      <c r="A23" s="51" t="n"/>
      <c r="B23" s="54" t="n"/>
      <c r="C23" s="54" t="n"/>
      <c r="D23" s="54" t="n"/>
      <c r="E23" s="54" t="n"/>
      <c r="F23" s="54" t="n"/>
      <c r="G23" s="54" t="n"/>
    </row>
    <row r="24" ht="20" customHeight="1">
      <c r="A24" s="51" t="n"/>
      <c r="B24" s="66" t="inlineStr">
        <is>
          <t>Total Monthly Expenses</t>
        </is>
      </c>
      <c r="C24" s="70" t="n"/>
      <c r="D24" s="72">
        <f>'Rental Income &amp; Expenses'!D14+'Rental Income &amp; Expenses'!D15+'Rental Income &amp; Expenses'!D16+'Rental Income &amp; Expenses'!D17+'Rental Income &amp; Expenses'!D19+'Rental Income &amp; Expenses'!D21+'Rental Income &amp; Expenses'!D22</f>
        <v/>
      </c>
      <c r="E24" s="54" t="n"/>
      <c r="F24" s="69" t="inlineStr">
        <is>
          <t>Sum of all expenses above</t>
        </is>
      </c>
      <c r="G24" s="54" t="n"/>
    </row>
    <row r="25" ht="8" customHeight="1">
      <c r="A25" s="51" t="n"/>
      <c r="B25" s="54" t="n"/>
      <c r="C25" s="54" t="n"/>
      <c r="D25" s="54" t="n"/>
      <c r="E25" s="54" t="n"/>
      <c r="F25" s="54" t="n"/>
      <c r="G25" s="54" t="n"/>
    </row>
    <row r="26" ht="22" customHeight="1">
      <c r="A26" s="51" t="n"/>
      <c r="B26" s="64" t="inlineStr">
        <is>
          <t>NET OPERATING INCOME</t>
        </is>
      </c>
      <c r="C26" s="54" t="n"/>
      <c r="D26" s="54" t="n"/>
      <c r="E26" s="54" t="n"/>
      <c r="F26" s="54" t="n"/>
      <c r="G26" s="54" t="n"/>
    </row>
    <row r="27" ht="20" customHeight="1">
      <c r="A27" s="51" t="n"/>
      <c r="B27" s="66" t="inlineStr">
        <is>
          <t>Net Operating Income / Month</t>
        </is>
      </c>
      <c r="C27" s="67" t="n"/>
      <c r="D27" s="72">
        <f>'Rental Income &amp; Expenses'!D9-'Rental Income &amp; Expenses'!D24</f>
        <v/>
      </c>
      <c r="E27" s="54" t="n"/>
      <c r="F27" s="69" t="inlineStr">
        <is>
          <t>EGI minus all operating expenses</t>
        </is>
      </c>
      <c r="G27" s="54" t="n"/>
    </row>
    <row r="28" ht="20" customHeight="1">
      <c r="A28" s="51" t="n"/>
      <c r="B28" s="66" t="inlineStr">
        <is>
          <t>Net Operating Income / Year</t>
        </is>
      </c>
      <c r="C28" s="70" t="n"/>
      <c r="D28" s="72">
        <f>'Rental Income &amp; Expenses'!D27*12</f>
        <v/>
      </c>
      <c r="E28" s="54" t="n"/>
      <c r="F28" s="69" t="inlineStr">
        <is>
          <t>Annual NOI</t>
        </is>
      </c>
      <c r="G28" s="54" t="n"/>
    </row>
    <row r="29" ht="20" customHeight="1">
      <c r="A29" s="51" t="n"/>
      <c r="B29" s="66" t="inlineStr">
        <is>
          <t>Cap Rate</t>
        </is>
      </c>
      <c r="C29" s="67" t="n"/>
      <c r="D29" s="77">
        <f>IF('Refinance Analysis'!D7&gt;0,'Rental Income &amp; Expenses'!D28/'Refinance Analysis'!D7,0)</f>
        <v/>
      </c>
      <c r="E29" s="54" t="n"/>
      <c r="F29" s="69" t="inlineStr">
        <is>
          <t>Annual NOI / ARV</t>
        </is>
      </c>
      <c r="G29" s="5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B3:G3"/>
    <mergeCell ref="B2:G2"/>
    <mergeCell ref="B11:F11"/>
    <mergeCell ref="B5:F5"/>
    <mergeCell ref="B12:G12"/>
    <mergeCell ref="B1:F1"/>
    <mergeCell ref="B26:F26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4A61F"/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.2" customWidth="1" min="1" max="1"/>
    <col width="32" customWidth="1" min="2" max="2"/>
    <col width="4" customWidth="1" min="3" max="3"/>
    <col width="18" customWidth="1" min="4" max="4"/>
    <col width="4" customWidth="1" min="5" max="5"/>
    <col width="24" customWidth="1" min="6" max="6"/>
    <col width="2" customWidth="1" min="7" max="7"/>
  </cols>
  <sheetData>
    <row r="1" ht="36" customHeight="1">
      <c r="A1" s="51" t="n"/>
      <c r="B1" s="52" t="inlineStr">
        <is>
          <t>MyClearBudget — Refinance Analysis</t>
        </is>
      </c>
    </row>
    <row r="2" ht="40" customHeight="1">
      <c r="A2" s="51" t="n"/>
      <c r="B2" s="53" t="inlineStr">
        <is>
          <t>BRRRR Strategy Calculator</t>
        </is>
      </c>
      <c r="C2" s="54" t="n"/>
      <c r="D2" s="54" t="n"/>
      <c r="E2" s="54" t="n"/>
      <c r="F2" s="54" t="n"/>
      <c r="G2" s="54" t="n"/>
    </row>
    <row r="3" ht="22" customHeight="1">
      <c r="A3" s="51" t="n"/>
      <c r="B3" s="55" t="inlineStr">
        <is>
          <t>Refinance Analysis — Step 3: What will the lender give you?</t>
        </is>
      </c>
      <c r="C3" s="54" t="n"/>
      <c r="D3" s="54" t="n"/>
      <c r="E3" s="54" t="n"/>
      <c r="F3" s="54" t="n"/>
      <c r="G3" s="54" t="n"/>
    </row>
    <row r="4" ht="8" customHeight="1">
      <c r="A4" s="51" t="n"/>
      <c r="B4" s="54" t="n"/>
      <c r="C4" s="54" t="n"/>
      <c r="D4" s="54" t="n"/>
      <c r="E4" s="54" t="n"/>
      <c r="F4" s="54" t="n"/>
      <c r="G4" s="54" t="n"/>
    </row>
    <row r="5" ht="22" customHeight="1">
      <c r="A5" s="51" t="n"/>
      <c r="B5" s="64" t="inlineStr">
        <is>
          <t>PROPERTY VALUE &amp; LOAN TERMS</t>
        </is>
      </c>
      <c r="C5" s="54" t="n"/>
      <c r="D5" s="54" t="n"/>
      <c r="E5" s="54" t="n"/>
      <c r="F5" s="54" t="n"/>
      <c r="G5" s="54" t="n"/>
    </row>
    <row r="6" ht="16" customHeight="1">
      <c r="A6" s="51" t="n"/>
      <c r="B6" s="65" t="inlineStr">
        <is>
          <t>Enter yellow cells. Blue cells calculate automatically.</t>
        </is>
      </c>
      <c r="C6" s="54" t="n"/>
      <c r="D6" s="54" t="n"/>
      <c r="E6" s="54" t="n"/>
      <c r="F6" s="54" t="n"/>
      <c r="G6" s="54" t="n"/>
    </row>
    <row r="7" ht="20" customHeight="1">
      <c r="A7" s="51" t="n"/>
      <c r="B7" s="66" t="inlineStr">
        <is>
          <t>After Repair Value (ARV)</t>
        </is>
      </c>
      <c r="C7" s="67" t="n"/>
      <c r="D7" s="68" t="n">
        <v>195000</v>
      </c>
      <c r="E7" s="54" t="n"/>
      <c r="F7" s="69" t="inlineStr">
        <is>
          <t>Supported by comparable sales</t>
        </is>
      </c>
      <c r="G7" s="54" t="n"/>
    </row>
    <row r="8" ht="20" customHeight="1">
      <c r="A8" s="51" t="n"/>
      <c r="B8" s="66" t="inlineStr">
        <is>
          <t>Lender LTV %</t>
        </is>
      </c>
      <c r="C8" s="70" t="n"/>
      <c r="D8" s="71" t="n">
        <v>0.75</v>
      </c>
      <c r="E8" s="54" t="n"/>
      <c r="F8" s="69" t="inlineStr">
        <is>
          <t>75% standard for investment property</t>
        </is>
      </c>
      <c r="G8" s="54" t="n"/>
    </row>
    <row r="9" ht="20" customHeight="1">
      <c r="A9" s="51" t="n"/>
      <c r="B9" s="66" t="inlineStr">
        <is>
          <t>Refinance Loan Amount</t>
        </is>
      </c>
      <c r="C9" s="67" t="n"/>
      <c r="D9" s="72">
        <f>'Refinance Analysis'!D7*'Refinance Analysis'!D8</f>
        <v/>
      </c>
      <c r="E9" s="54" t="n"/>
      <c r="F9" s="69" t="inlineStr">
        <is>
          <t>ARV x LTV</t>
        </is>
      </c>
      <c r="G9" s="54" t="n"/>
    </row>
    <row r="10" ht="20" customHeight="1">
      <c r="A10" s="51" t="n"/>
      <c r="B10" s="66" t="inlineStr">
        <is>
          <t>Refinance Closing Costs</t>
        </is>
      </c>
      <c r="C10" s="70" t="n"/>
      <c r="D10" s="68" t="n">
        <v>4500</v>
      </c>
      <c r="E10" s="54" t="n"/>
      <c r="F10" s="69" t="inlineStr">
        <is>
          <t>Typical 2–3% of loan amount</t>
        </is>
      </c>
      <c r="G10" s="54" t="n"/>
    </row>
    <row r="11" ht="20" customHeight="1">
      <c r="A11" s="51" t="n"/>
      <c r="B11" s="66" t="inlineStr">
        <is>
          <t>Refinance Interest Rate %</t>
        </is>
      </c>
      <c r="C11" s="67" t="n"/>
      <c r="D11" s="73" t="n">
        <v>0.0725</v>
      </c>
      <c r="E11" s="54" t="n"/>
      <c r="F11" s="69" t="inlineStr">
        <is>
          <t>Current market rate</t>
        </is>
      </c>
      <c r="G11" s="54" t="n"/>
    </row>
    <row r="12" ht="20" customHeight="1">
      <c r="A12" s="51" t="n"/>
      <c r="B12" s="66" t="inlineStr">
        <is>
          <t>Refinance Loan Term (years)</t>
        </is>
      </c>
      <c r="C12" s="70" t="n"/>
      <c r="D12" s="74" t="n">
        <v>30</v>
      </c>
      <c r="E12" s="54" t="n"/>
      <c r="F12" s="69" t="inlineStr">
        <is>
          <t>30-year standard</t>
        </is>
      </c>
      <c r="G12" s="54" t="n"/>
    </row>
    <row r="13" ht="20" customHeight="1">
      <c r="A13" s="51" t="n"/>
      <c r="B13" s="66" t="inlineStr">
        <is>
          <t>Monthly Refinance Payment</t>
        </is>
      </c>
      <c r="C13" s="67" t="n"/>
      <c r="D13" s="72">
        <f>PMT('Refinance Analysis'!D11/12,'Refinance Analysis'!D12*12,-'Refinance Analysis'!D9)</f>
        <v/>
      </c>
      <c r="E13" s="54" t="n"/>
      <c r="F13" s="69" t="inlineStr">
        <is>
          <t>Auto-calculated (PMT)</t>
        </is>
      </c>
      <c r="G13" s="54" t="n"/>
    </row>
    <row r="14" ht="8" customHeight="1">
      <c r="A14" s="51" t="n"/>
      <c r="B14" s="54" t="n"/>
      <c r="C14" s="54" t="n"/>
      <c r="D14" s="54" t="n"/>
      <c r="E14" s="54" t="n"/>
      <c r="F14" s="54" t="n"/>
      <c r="G14" s="54" t="n"/>
    </row>
    <row r="15" ht="22" customHeight="1">
      <c r="A15" s="51" t="n"/>
      <c r="B15" s="64" t="inlineStr">
        <is>
          <t>CASH RECOVERY ANALYSIS</t>
        </is>
      </c>
      <c r="C15" s="54" t="n"/>
      <c r="D15" s="54" t="n"/>
      <c r="E15" s="54" t="n"/>
      <c r="F15" s="54" t="n"/>
      <c r="G15" s="54" t="n"/>
    </row>
    <row r="16" ht="16" customHeight="1">
      <c r="A16" s="51" t="n"/>
      <c r="B16" s="65" t="inlineStr">
        <is>
          <t>How much of your investment did you pull back out?</t>
        </is>
      </c>
      <c r="C16" s="54" t="n"/>
      <c r="D16" s="54" t="n"/>
      <c r="E16" s="54" t="n"/>
      <c r="F16" s="54" t="n"/>
      <c r="G16" s="54" t="n"/>
    </row>
    <row r="17" ht="20" customHeight="1">
      <c r="A17" s="51" t="n"/>
      <c r="B17" s="66" t="inlineStr">
        <is>
          <t>Total Cash Invested</t>
        </is>
      </c>
      <c r="C17" s="67" t="n"/>
      <c r="D17" s="72">
        <f>'Purchase &amp; Rehab'!D7+'Purchase &amp; Rehab'!D8+'Purchase &amp; Rehab'!D12+'Purchase &amp; Rehab'!D14-'Purchase &amp; Rehab'!D19</f>
        <v/>
      </c>
      <c r="E17" s="54" t="n"/>
      <c r="F17" s="69" t="inlineStr">
        <is>
          <t>Purchase + Closing + Rehab + Contingency - Initial Loan</t>
        </is>
      </c>
      <c r="G17" s="54" t="n"/>
    </row>
    <row r="18" ht="20" customHeight="1">
      <c r="A18" s="51" t="n"/>
      <c r="B18" s="66" t="inlineStr">
        <is>
          <t>Cash Pulled Out at Refinance</t>
        </is>
      </c>
      <c r="C18" s="70" t="n"/>
      <c r="D18" s="72">
        <f>'Refinance Analysis'!D9-'Purchase &amp; Rehab'!D19-'Refinance Analysis'!D10</f>
        <v/>
      </c>
      <c r="E18" s="54" t="n"/>
      <c r="F18" s="69" t="inlineStr">
        <is>
          <t>Refi Loan - Existing Loan Payoff - Refi Closing Costs</t>
        </is>
      </c>
      <c r="G18" s="54" t="n"/>
    </row>
    <row r="19" ht="20" customHeight="1">
      <c r="A19" s="51" t="n"/>
      <c r="B19" s="66" t="inlineStr">
        <is>
          <t>Cash Left in Deal</t>
        </is>
      </c>
      <c r="C19" s="67" t="n"/>
      <c r="D19" s="72">
        <f>'Refinance Analysis'!D17-'Refinance Analysis'!D18</f>
        <v/>
      </c>
      <c r="E19" s="54" t="n"/>
      <c r="F19" s="69" t="inlineStr">
        <is>
          <t>Total Invested minus Cash Pulled Out</t>
        </is>
      </c>
      <c r="G19" s="54" t="n"/>
    </row>
    <row r="20" ht="20" customHeight="1">
      <c r="A20" s="51" t="n"/>
      <c r="B20" s="66" t="inlineStr">
        <is>
          <t>Equity Remaining (ARV - Loan)</t>
        </is>
      </c>
      <c r="C20" s="70" t="n"/>
      <c r="D20" s="72">
        <f>'Refinance Analysis'!D7-'Refinance Analysis'!D9</f>
        <v/>
      </c>
      <c r="E20" s="54" t="n"/>
      <c r="F20" s="69" t="inlineStr">
        <is>
          <t>Your equity position after refinance</t>
        </is>
      </c>
      <c r="G20" s="54" t="n"/>
    </row>
    <row r="21" ht="8" customHeight="1">
      <c r="A21" s="51" t="n"/>
      <c r="B21" s="54" t="n"/>
      <c r="C21" s="54" t="n"/>
      <c r="D21" s="54" t="n"/>
      <c r="E21" s="54" t="n"/>
      <c r="F21" s="54" t="n"/>
      <c r="G21" s="54" t="n"/>
    </row>
    <row r="22" ht="24" customHeight="1">
      <c r="A22" s="51" t="n"/>
      <c r="B22" s="75" t="inlineStr">
        <is>
          <t>INFINITE RETURN?</t>
        </is>
      </c>
      <c r="C22" s="54" t="n"/>
      <c r="D22" s="54" t="n"/>
      <c r="E22" s="78">
        <f>IF('Refinance Analysis'!D19&lt;=0,"YES — Infinite Return!","No — Cash Remaining in Deal")</f>
        <v/>
      </c>
      <c r="F22" s="54" t="n"/>
      <c r="G22" s="5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B3:G3"/>
    <mergeCell ref="B2:G2"/>
    <mergeCell ref="B16:G16"/>
    <mergeCell ref="B15:F15"/>
    <mergeCell ref="B22:D22"/>
    <mergeCell ref="B5:F5"/>
    <mergeCell ref="B1:F1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7AE60"/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.2" customWidth="1" min="1" max="1"/>
    <col width="32" customWidth="1" min="2" max="2"/>
    <col width="4" customWidth="1" min="3" max="3"/>
    <col width="18" customWidth="1" min="4" max="4"/>
    <col width="4" customWidth="1" min="5" max="5"/>
    <col width="24" customWidth="1" min="6" max="6"/>
    <col width="2" customWidth="1" min="7" max="7"/>
  </cols>
  <sheetData>
    <row r="1" ht="36" customHeight="1">
      <c r="A1" s="51" t="n"/>
      <c r="B1" s="52" t="inlineStr">
        <is>
          <t>MyClearBudget — Cash Flow Analysis</t>
        </is>
      </c>
    </row>
    <row r="2" ht="40" customHeight="1">
      <c r="A2" s="51" t="n"/>
      <c r="B2" s="53" t="inlineStr">
        <is>
          <t>BRRRR Strategy Calculator</t>
        </is>
      </c>
      <c r="C2" s="54" t="n"/>
      <c r="D2" s="54" t="n"/>
      <c r="E2" s="54" t="n"/>
      <c r="F2" s="54" t="n"/>
      <c r="G2" s="54" t="n"/>
    </row>
    <row r="3" ht="22" customHeight="1">
      <c r="A3" s="51" t="n"/>
      <c r="B3" s="55" t="inlineStr">
        <is>
          <t>Cash Flow Analysis — Step 4: What does the deal generate post-refinance?</t>
        </is>
      </c>
      <c r="C3" s="54" t="n"/>
      <c r="D3" s="54" t="n"/>
      <c r="E3" s="54" t="n"/>
      <c r="F3" s="54" t="n"/>
      <c r="G3" s="54" t="n"/>
    </row>
    <row r="4" ht="8" customHeight="1">
      <c r="A4" s="51" t="n"/>
      <c r="B4" s="54" t="n"/>
      <c r="C4" s="54" t="n"/>
      <c r="D4" s="54" t="n"/>
      <c r="E4" s="54" t="n"/>
      <c r="F4" s="54" t="n"/>
      <c r="G4" s="54" t="n"/>
    </row>
    <row r="5" ht="22" customHeight="1">
      <c r="A5" s="51" t="n"/>
      <c r="B5" s="64" t="inlineStr">
        <is>
          <t>POST-REFINANCE CASH FLOW</t>
        </is>
      </c>
      <c r="C5" s="54" t="n"/>
      <c r="D5" s="54" t="n"/>
      <c r="E5" s="54" t="n"/>
      <c r="F5" s="54" t="n"/>
      <c r="G5" s="54" t="n"/>
    </row>
    <row r="6" ht="16" customHeight="1">
      <c r="A6" s="51" t="n"/>
      <c r="B6" s="65" t="inlineStr">
        <is>
          <t>All values pull from other tabs automatically. Review and confirm.</t>
        </is>
      </c>
      <c r="C6" s="54" t="n"/>
      <c r="D6" s="54" t="n"/>
      <c r="E6" s="54" t="n"/>
      <c r="F6" s="54" t="n"/>
      <c r="G6" s="54" t="n"/>
    </row>
    <row r="7" ht="20" customHeight="1">
      <c r="A7" s="51" t="n"/>
      <c r="B7" s="66" t="inlineStr">
        <is>
          <t>Monthly Rental Income (EGI)</t>
        </is>
      </c>
      <c r="C7" s="67" t="n"/>
      <c r="D7" s="72">
        <f>'Rental Income &amp; Expenses'!D9</f>
        <v/>
      </c>
      <c r="E7" s="54" t="n"/>
      <c r="F7" s="69" t="inlineStr">
        <is>
          <t>From Rental Income tab</t>
        </is>
      </c>
      <c r="G7" s="54" t="n"/>
    </row>
    <row r="8" ht="20" customHeight="1">
      <c r="A8" s="51" t="n"/>
      <c r="B8" s="66" t="inlineStr">
        <is>
          <t>Monthly Refinance Payment</t>
        </is>
      </c>
      <c r="C8" s="70" t="n"/>
      <c r="D8" s="72">
        <f>'Refinance Analysis'!D13</f>
        <v/>
      </c>
      <c r="E8" s="54" t="n"/>
      <c r="F8" s="69" t="inlineStr">
        <is>
          <t>From Refinance Analysis tab</t>
        </is>
      </c>
      <c r="G8" s="54" t="n"/>
    </row>
    <row r="9" ht="20" customHeight="1">
      <c r="A9" s="51" t="n"/>
      <c r="B9" s="66" t="inlineStr">
        <is>
          <t>Monthly Operating Expenses</t>
        </is>
      </c>
      <c r="C9" s="67" t="n"/>
      <c r="D9" s="72">
        <f>'Rental Income &amp; Expenses'!D24</f>
        <v/>
      </c>
      <c r="E9" s="54" t="n"/>
      <c r="F9" s="69" t="inlineStr">
        <is>
          <t>From Rental Income tab</t>
        </is>
      </c>
      <c r="G9" s="54" t="n"/>
    </row>
    <row r="10" ht="8" customHeight="1">
      <c r="A10" s="51" t="n"/>
      <c r="B10" s="54" t="n"/>
      <c r="C10" s="54" t="n"/>
      <c r="D10" s="54" t="n"/>
      <c r="E10" s="54" t="n"/>
      <c r="F10" s="54" t="n"/>
      <c r="G10" s="54" t="n"/>
    </row>
    <row r="11" ht="20" customHeight="1">
      <c r="A11" s="51" t="n"/>
      <c r="B11" s="66" t="inlineStr">
        <is>
          <t>Monthly Cash Flow</t>
        </is>
      </c>
      <c r="C11" s="67" t="n"/>
      <c r="D11" s="72">
        <f>'Cash Flow Analysis'!D7-'Cash Flow Analysis'!D8-'Cash Flow Analysis'!D9</f>
        <v/>
      </c>
      <c r="E11" s="54" t="n"/>
      <c r="F11" s="69" t="inlineStr">
        <is>
          <t>Income minus Refi Payment minus Expenses</t>
        </is>
      </c>
      <c r="G11" s="54" t="n"/>
    </row>
    <row r="12" ht="20" customHeight="1">
      <c r="A12" s="51" t="n"/>
      <c r="B12" s="66" t="inlineStr">
        <is>
          <t>Annual Cash Flow</t>
        </is>
      </c>
      <c r="C12" s="70" t="n"/>
      <c r="D12" s="72">
        <f>'Cash Flow Analysis'!D11*12</f>
        <v/>
      </c>
      <c r="E12" s="54" t="n"/>
      <c r="F12" s="69" t="inlineStr">
        <is>
          <t>Monthly x 12</t>
        </is>
      </c>
      <c r="G12" s="54" t="n"/>
    </row>
    <row r="13" ht="8" customHeight="1">
      <c r="A13" s="51" t="n"/>
      <c r="B13" s="54" t="n"/>
      <c r="C13" s="54" t="n"/>
      <c r="D13" s="54" t="n"/>
      <c r="E13" s="54" t="n"/>
      <c r="F13" s="54" t="n"/>
      <c r="G13" s="54" t="n"/>
    </row>
    <row r="14" ht="22" customHeight="1">
      <c r="A14" s="51" t="n"/>
      <c r="B14" s="64" t="inlineStr">
        <is>
          <t>RETURN METRICS</t>
        </is>
      </c>
      <c r="C14" s="54" t="n"/>
      <c r="D14" s="54" t="n"/>
      <c r="E14" s="54" t="n"/>
      <c r="F14" s="54" t="n"/>
      <c r="G14" s="54" t="n"/>
    </row>
    <row r="15" ht="20" customHeight="1">
      <c r="A15" s="51" t="n"/>
      <c r="B15" s="66" t="inlineStr">
        <is>
          <t>Cash-on-Cash Return</t>
        </is>
      </c>
      <c r="C15" s="67" t="n"/>
      <c r="D15" s="79">
        <f>IF('Refinance Analysis'!D19&lt;=0,"Infinite",IF('Refinance Analysis'!D19&gt;0,'Cash Flow Analysis'!D12/'Refinance Analysis'!D19,0))</f>
        <v/>
      </c>
      <c r="E15" s="54" t="n"/>
      <c r="F15" s="69" t="inlineStr">
        <is>
          <t>Annual Cash Flow / Cash Left in Deal</t>
        </is>
      </c>
      <c r="G15" s="54" t="n"/>
    </row>
    <row r="16" ht="20" customHeight="1">
      <c r="A16" s="51" t="n"/>
      <c r="B16" s="66" t="inlineStr">
        <is>
          <t>Debt Service Coverage Ratio (DSCR)</t>
        </is>
      </c>
      <c r="C16" s="70" t="n"/>
      <c r="D16" s="80">
        <f>IF('Cash Flow Analysis'!D8&gt;0,'Rental Income &amp; Expenses'!D28/('Cash Flow Analysis'!D8*12),0)</f>
        <v/>
      </c>
      <c r="E16" s="54" t="n"/>
      <c r="F16" s="69" t="inlineStr">
        <is>
          <t>NOI / Annual Debt Service (&gt;1.25 required)</t>
        </is>
      </c>
      <c r="G16" s="54" t="n"/>
    </row>
    <row r="17" ht="10" customHeight="1">
      <c r="A17" s="51" t="n"/>
      <c r="B17" s="54" t="n"/>
      <c r="C17" s="54" t="n"/>
      <c r="D17" s="54" t="n"/>
      <c r="E17" s="54" t="n"/>
      <c r="F17" s="54" t="n"/>
      <c r="G17" s="54" t="n"/>
    </row>
    <row r="18" ht="24" customHeight="1">
      <c r="A18" s="51" t="n"/>
      <c r="B18" s="75" t="inlineStr">
        <is>
          <t>MONTHLY CASH FLOW</t>
        </is>
      </c>
      <c r="C18" s="54" t="n"/>
      <c r="D18" s="54" t="n"/>
      <c r="E18" s="76">
        <f>'Cash Flow Analysis'!D11</f>
        <v/>
      </c>
      <c r="F18" s="54" t="n"/>
      <c r="G18" s="5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B3:G3"/>
    <mergeCell ref="B2:G2"/>
    <mergeCell ref="B5:F5"/>
    <mergeCell ref="B18:D18"/>
    <mergeCell ref="B14:F14"/>
    <mergeCell ref="B1:F1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2A4A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.2" customWidth="1" min="1" max="1"/>
    <col width="28" customWidth="1" min="2" max="2"/>
    <col width="18" customWidth="1" min="3" max="3"/>
    <col width="18" customWidth="1" min="4" max="4"/>
    <col width="16" customWidth="1" min="5" max="5"/>
    <col width="2" customWidth="1" min="6" max="6"/>
  </cols>
  <sheetData>
    <row r="1" ht="36" customHeight="1">
      <c r="A1" s="51" t="n"/>
      <c r="B1" s="52" t="inlineStr">
        <is>
          <t>MyClearBudget — BRRRR Scorecard</t>
        </is>
      </c>
    </row>
    <row r="2" ht="40" customHeight="1">
      <c r="A2" s="51" t="n"/>
      <c r="B2" s="53" t="inlineStr">
        <is>
          <t>BRRRR Strategy Calculator</t>
        </is>
      </c>
      <c r="C2" s="54" t="n"/>
      <c r="D2" s="54" t="n"/>
      <c r="E2" s="54" t="n"/>
    </row>
    <row r="3" ht="22" customHeight="1">
      <c r="A3" s="51" t="n"/>
      <c r="B3" s="55" t="inlineStr">
        <is>
          <t>BRRRR Scorecard — Deal at a Glance</t>
        </is>
      </c>
      <c r="C3" s="54" t="n"/>
      <c r="D3" s="54" t="n"/>
      <c r="E3" s="54" t="n"/>
    </row>
    <row r="4" ht="8" customHeight="1">
      <c r="A4" s="51" t="n"/>
      <c r="B4" s="54" t="n"/>
      <c r="C4" s="54" t="n"/>
      <c r="D4" s="54" t="n"/>
      <c r="E4" s="54" t="n"/>
    </row>
    <row r="5" ht="22" customHeight="1">
      <c r="A5" s="51" t="n"/>
      <c r="B5" s="64" t="inlineStr">
        <is>
          <t>DEAL SCORECARD</t>
        </is>
      </c>
      <c r="C5" s="54" t="n"/>
      <c r="D5" s="54" t="n"/>
      <c r="E5" s="54" t="n"/>
    </row>
    <row r="6" ht="8" customHeight="1">
      <c r="A6" s="51" t="n"/>
      <c r="B6" s="54" t="n"/>
      <c r="C6" s="54" t="n"/>
      <c r="D6" s="54" t="n"/>
      <c r="E6" s="54" t="n"/>
    </row>
    <row r="7" ht="20" customHeight="1">
      <c r="A7" s="51" t="n"/>
      <c r="B7" s="81" t="inlineStr">
        <is>
          <t>Metric</t>
        </is>
      </c>
      <c r="C7" s="81" t="inlineStr">
        <is>
          <t>Value</t>
        </is>
      </c>
      <c r="D7" s="81" t="inlineStr">
        <is>
          <t>Target</t>
        </is>
      </c>
      <c r="E7" s="81" t="inlineStr">
        <is>
          <t>Status</t>
        </is>
      </c>
    </row>
    <row r="8" ht="22" customHeight="1">
      <c r="A8" s="51" t="n"/>
      <c r="B8" s="66" t="inlineStr">
        <is>
          <t>After Repair Value (ARV)</t>
        </is>
      </c>
      <c r="C8" s="82">
        <f>'Refinance Analysis'!D7</f>
        <v/>
      </c>
      <c r="D8" s="83" t="inlineStr">
        <is>
          <t>&gt; Purchase + Rehab</t>
        </is>
      </c>
      <c r="E8" s="84">
        <f>IF('Refinance Analysis'!D7&gt;('Purchase &amp; Rehab'!D7+'Purchase &amp; Rehab'!D12),"PASS","FAIL")</f>
        <v/>
      </c>
    </row>
    <row r="9" ht="22" customHeight="1">
      <c r="A9" s="51" t="n"/>
      <c r="B9" s="66" t="inlineStr">
        <is>
          <t>Cash Pulled Out at Refinance</t>
        </is>
      </c>
      <c r="C9" s="82">
        <f>'Refinance Analysis'!D18</f>
        <v/>
      </c>
      <c r="D9" s="83" t="inlineStr">
        <is>
          <t>&gt;= Total Invested</t>
        </is>
      </c>
      <c r="E9" s="84">
        <f>IF('Refinance Analysis'!D18&gt;='Refinance Analysis'!D17,"PASS","FAIL")</f>
        <v/>
      </c>
    </row>
    <row r="10" ht="22" customHeight="1">
      <c r="A10" s="51" t="n"/>
      <c r="B10" s="66" t="inlineStr">
        <is>
          <t>Cash Left in Deal</t>
        </is>
      </c>
      <c r="C10" s="82">
        <f>'Refinance Analysis'!D19</f>
        <v/>
      </c>
      <c r="D10" s="83" t="inlineStr">
        <is>
          <t>&lt; $0 (Infinite Return)</t>
        </is>
      </c>
      <c r="E10" s="85" t="inlineStr"/>
    </row>
    <row r="11" ht="22" customHeight="1">
      <c r="A11" s="51" t="n"/>
      <c r="B11" s="66" t="inlineStr">
        <is>
          <t>Monthly Cash Flow</t>
        </is>
      </c>
      <c r="C11" s="82">
        <f>'Cash Flow Analysis'!D11</f>
        <v/>
      </c>
      <c r="D11" s="83" t="inlineStr">
        <is>
          <t>&gt; $200 / month</t>
        </is>
      </c>
      <c r="E11" s="84">
        <f>IF('Cash Flow Analysis'!D11&gt;200,"PASS","FAIL")</f>
        <v/>
      </c>
    </row>
    <row r="12" ht="22" customHeight="1">
      <c r="A12" s="51" t="n"/>
      <c r="B12" s="66" t="inlineStr">
        <is>
          <t>DSCR (Debt Service Coverage)</t>
        </is>
      </c>
      <c r="C12" s="86">
        <f>'Cash Flow Analysis'!D16</f>
        <v/>
      </c>
      <c r="D12" s="83" t="inlineStr">
        <is>
          <t>&gt; 1.25x</t>
        </is>
      </c>
      <c r="E12" s="84">
        <f>IF('Cash Flow Analysis'!D16&gt;1.25,"PASS","FAIL")</f>
        <v/>
      </c>
    </row>
    <row r="13" ht="22" customHeight="1">
      <c r="A13" s="51" t="n"/>
      <c r="B13" s="66" t="inlineStr">
        <is>
          <t>Cash-on-Cash Return</t>
        </is>
      </c>
      <c r="C13" s="87">
        <f>IF('Refinance Analysis'!D19&lt;=0,"Infinite",IF('Refinance Analysis'!D19&gt;0,'Cash Flow Analysis'!D12/'Refinance Analysis'!D19,0))</f>
        <v/>
      </c>
      <c r="D13" s="83" t="inlineStr">
        <is>
          <t>&gt; 8%</t>
        </is>
      </c>
      <c r="E13" s="84">
        <f>IF('Refinance Analysis'!D19&lt;=0,"INFINITE",IF(AND('Refinance Analysis'!D19&gt;0,'Cash Flow Analysis'!D12/'Refinance Analysis'!D19&gt;0.08),"PASS","FAIL"))</f>
        <v/>
      </c>
    </row>
    <row r="14" ht="22" customHeight="1">
      <c r="A14" s="51" t="n"/>
      <c r="B14" s="66" t="inlineStr">
        <is>
          <t>Cap Rate</t>
        </is>
      </c>
      <c r="C14" s="88">
        <f>'Rental Income &amp; Expenses'!D29</f>
        <v/>
      </c>
      <c r="D14" s="83" t="inlineStr">
        <is>
          <t>&gt; 6%</t>
        </is>
      </c>
      <c r="E14" s="84">
        <f>IF('Rental Income &amp; Expenses'!D29&gt;0.06,"PASS","FAIL")</f>
        <v/>
      </c>
    </row>
    <row r="15" ht="22" customHeight="1">
      <c r="A15" s="51" t="n"/>
      <c r="B15" s="66" t="inlineStr">
        <is>
          <t>Infinite Return?</t>
        </is>
      </c>
      <c r="C15" s="89">
        <f>'Refinance Analysis'!D22</f>
        <v/>
      </c>
      <c r="D15" s="83" t="inlineStr">
        <is>
          <t>YES — goal</t>
        </is>
      </c>
      <c r="E15" s="84">
        <f>IF('Refinance Analysis'!D19&lt;=0,"YES","No")</f>
        <v/>
      </c>
    </row>
    <row r="16" ht="12" customHeight="1">
      <c r="A16" s="51" t="n"/>
      <c r="B16" s="54" t="n"/>
      <c r="C16" s="54" t="n"/>
      <c r="D16" s="54" t="n"/>
      <c r="E16" s="54" t="n"/>
    </row>
    <row r="17" ht="22" customHeight="1">
      <c r="A17" s="51" t="n"/>
      <c r="B17" s="64" t="inlineStr">
        <is>
          <t>OVERALL DEAL RATING</t>
        </is>
      </c>
      <c r="C17" s="54" t="n"/>
      <c r="D17" s="54" t="n"/>
      <c r="E17" s="54" t="n"/>
    </row>
    <row r="18" ht="8" customHeight="1">
      <c r="A18" s="51" t="n"/>
      <c r="B18" s="54" t="n"/>
      <c r="C18" s="54" t="n"/>
      <c r="D18" s="54" t="n"/>
      <c r="E18" s="54" t="n"/>
    </row>
    <row r="19" ht="36" customHeight="1">
      <c r="A19" s="51" t="n"/>
      <c r="B19" s="90" t="inlineStr">
        <is>
          <t>Deal Rating</t>
        </is>
      </c>
      <c r="C19" s="54" t="n"/>
      <c r="D19" s="54" t="n"/>
      <c r="E19" s="91">
        <f>IF((E8="PASS")+(E9="PASS")+(E11="PASS")+(E12="PASS")+(E14="PASS")&gt;=5,"STRONG",IF((E8="PASS")+(E9="PASS")+(E11="PASS")+(E12="PASS")+(E14="PASS")&gt;=4,"GOOD",IF((E8="PASS")+(E9="PASS")+(E11="PASS")+(E12="PASS")+(E14="PASS")&gt;=3,"MARGINAL","PASS")))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">
    <mergeCell ref="B17:E17"/>
    <mergeCell ref="B19:D19"/>
    <mergeCell ref="B1:E1"/>
    <mergeCell ref="B3:E3"/>
    <mergeCell ref="B5:E5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9BAE"/>
    <outlinePr summaryBelow="1" summaryRight="1"/>
    <pageSetUpPr/>
  </sheetPr>
  <dimension ref="A1:C45"/>
  <sheetViews>
    <sheetView showGridLines="0" workbookViewId="0">
      <selection activeCell="A1" sqref="A1"/>
    </sheetView>
  </sheetViews>
  <sheetFormatPr baseColWidth="8" defaultRowHeight="15"/>
  <cols>
    <col width="1.2" customWidth="1" min="1" max="1"/>
    <col width="72" customWidth="1" min="2" max="2"/>
    <col width="2" customWidth="1" min="3" max="3"/>
  </cols>
  <sheetData>
    <row r="1" ht="36" customHeight="1">
      <c r="A1" s="51" t="n"/>
      <c r="B1" s="52" t="inlineStr">
        <is>
          <t>MyClearBudget — Getting Started</t>
        </is>
      </c>
    </row>
    <row r="2" ht="40" customHeight="1">
      <c r="A2" s="51" t="n"/>
      <c r="B2" s="53" t="inlineStr">
        <is>
          <t>BRRRR Strategy Calculator</t>
        </is>
      </c>
      <c r="C2" s="54" t="n"/>
    </row>
    <row r="3" ht="22" customHeight="1">
      <c r="A3" s="51" t="n"/>
      <c r="B3" s="55" t="inlineStr">
        <is>
          <t>Getting Started — Read This First</t>
        </is>
      </c>
      <c r="C3" s="54" t="n"/>
    </row>
    <row r="4" ht="8" customHeight="1">
      <c r="A4" s="51" t="n"/>
      <c r="B4" s="54" t="n"/>
      <c r="C4" s="54" t="n"/>
    </row>
    <row r="5" ht="22" customHeight="1">
      <c r="A5" s="51" t="n"/>
      <c r="B5" s="90" t="inlineStr">
        <is>
          <t>What Is the BRRRR Strategy?</t>
        </is>
      </c>
      <c r="C5" s="54" t="n"/>
    </row>
    <row r="6" ht="18" customHeight="1">
      <c r="A6" s="51" t="n"/>
      <c r="B6" s="92" t="inlineStr">
        <is>
          <t>BRRRR stands for Buy, Rehab, Rent, Refinance, Repeat.</t>
        </is>
      </c>
      <c r="C6" s="54" t="n"/>
    </row>
    <row r="7" ht="18" customHeight="1">
      <c r="A7" s="51" t="n"/>
      <c r="B7" s="92" t="inlineStr">
        <is>
          <t>The strategy allows real estate investors to recycle their capital by purchasing distressed properties,</t>
        </is>
      </c>
      <c r="C7" s="54" t="n"/>
    </row>
    <row r="8" ht="18" customHeight="1">
      <c r="A8" s="51" t="n"/>
      <c r="B8" s="92" t="inlineStr">
        <is>
          <t>renovating them to force appreciation, renting them for cash flow, and then refinancing to pull out</t>
        </is>
      </c>
      <c r="C8" s="54" t="n"/>
    </row>
    <row r="9" ht="18" customHeight="1">
      <c r="A9" s="51" t="n"/>
      <c r="B9" s="92" t="inlineStr">
        <is>
          <t>most or all of their initial investment — then repeating the process with the same dollars.</t>
        </is>
      </c>
      <c r="C9" s="54" t="n"/>
    </row>
    <row r="10" ht="18" customHeight="1">
      <c r="A10" s="51" t="n"/>
      <c r="B10" s="92" t="inlineStr">
        <is>
          <t>Done correctly, you can build a rental portfolio with limited out-of-pocket capital.</t>
        </is>
      </c>
      <c r="C10" s="54" t="n"/>
    </row>
    <row r="11" ht="10" customHeight="1">
      <c r="A11" s="51" t="n"/>
      <c r="B11" s="54" t="n"/>
      <c r="C11" s="54" t="n"/>
    </row>
    <row r="12" ht="22" customHeight="1">
      <c r="A12" s="51" t="n"/>
      <c r="B12" s="90" t="inlineStr">
        <is>
          <t>How to Use This Calculator</t>
        </is>
      </c>
      <c r="C12" s="54" t="n"/>
    </row>
    <row r="13" ht="18" customHeight="1">
      <c r="A13" s="51" t="n"/>
      <c r="B13" s="92" t="inlineStr">
        <is>
          <t>Step 1 — Purchase &amp; Rehab: Enter your purchase price, closing costs, and renovation budget.</t>
        </is>
      </c>
      <c r="C13" s="54" t="n"/>
    </row>
    <row r="14" ht="18" customHeight="1">
      <c r="A14" s="51" t="n"/>
      <c r="B14" s="92" t="inlineStr">
        <is>
          <t>Step 2 — Rental Income &amp; Expenses: Enter projected rents and operating costs.</t>
        </is>
      </c>
      <c r="C14" s="54" t="n"/>
    </row>
    <row r="15" ht="18" customHeight="1">
      <c r="A15" s="51" t="n"/>
      <c r="B15" s="92" t="inlineStr">
        <is>
          <t>Step 3 — Refinance Analysis: Enter ARV, LTV, and loan terms from your lender.</t>
        </is>
      </c>
      <c r="C15" s="54" t="n"/>
    </row>
    <row r="16" ht="18" customHeight="1">
      <c r="A16" s="51" t="n"/>
      <c r="B16" s="92" t="inlineStr">
        <is>
          <t>Step 4 — Cash Flow Analysis: Review auto-calculated cash flow and return metrics.</t>
        </is>
      </c>
      <c r="C16" s="54" t="n"/>
    </row>
    <row r="17" ht="18" customHeight="1">
      <c r="A17" s="51" t="n"/>
      <c r="B17" s="92" t="inlineStr">
        <is>
          <t>Step 5 — BRRRR Scorecard: See a pass/fail summary and overall deal rating.</t>
        </is>
      </c>
      <c r="C17" s="54" t="n"/>
    </row>
    <row r="18" ht="18" customHeight="1">
      <c r="A18" s="51" t="n"/>
      <c r="B18" s="92" t="inlineStr">
        <is>
          <t>Step 6 — Return to Dashboard: All KPI cards and the chart update automatically.</t>
        </is>
      </c>
      <c r="C18" s="54" t="n"/>
    </row>
    <row r="19" ht="10" customHeight="1">
      <c r="A19" s="51" t="n"/>
      <c r="B19" s="54" t="n"/>
      <c r="C19" s="54" t="n"/>
    </row>
    <row r="20" ht="22" customHeight="1">
      <c r="A20" s="51" t="n"/>
      <c r="B20" s="90" t="inlineStr">
        <is>
          <t>Color Guide</t>
        </is>
      </c>
      <c r="C20" s="54" t="n"/>
    </row>
    <row r="21" ht="18" customHeight="1">
      <c r="A21" s="51" t="n"/>
      <c r="B21" s="92" t="inlineStr">
        <is>
          <t>Yellow cells — Enter your inputs here.</t>
        </is>
      </c>
      <c r="C21" s="54" t="n"/>
    </row>
    <row r="22" ht="18" customHeight="1">
      <c r="A22" s="51" t="n"/>
      <c r="B22" s="92" t="inlineStr">
        <is>
          <t>Blue cells — Auto-calculated. Do not edit.</t>
        </is>
      </c>
      <c r="C22" s="54" t="n"/>
    </row>
    <row r="23" ht="18" customHeight="1">
      <c r="A23" s="51" t="n"/>
      <c r="B23" s="92" t="inlineStr">
        <is>
          <t>Navy background rows — Totals and key outputs.</t>
        </is>
      </c>
      <c r="C23" s="54" t="n"/>
    </row>
    <row r="24" ht="18" customHeight="1">
      <c r="A24" s="51" t="n"/>
      <c r="B24" s="92" t="inlineStr">
        <is>
          <t>Green — Positive or passing metric.</t>
        </is>
      </c>
      <c r="C24" s="54" t="n"/>
    </row>
    <row r="25" ht="18" customHeight="1">
      <c r="A25" s="51" t="n"/>
      <c r="B25" s="92" t="inlineStr">
        <is>
          <t>Red — Negative or failing metric.</t>
        </is>
      </c>
      <c r="C25" s="54" t="n"/>
    </row>
    <row r="26" ht="10" customHeight="1">
      <c r="A26" s="51" t="n"/>
      <c r="B26" s="54" t="n"/>
      <c r="C26" s="54" t="n"/>
    </row>
    <row r="27" ht="22" customHeight="1">
      <c r="A27" s="51" t="n"/>
      <c r="B27" s="90" t="inlineStr">
        <is>
          <t>Key Concepts</t>
        </is>
      </c>
      <c r="C27" s="54" t="n"/>
    </row>
    <row r="28" ht="18" customHeight="1">
      <c r="A28" s="51" t="n"/>
      <c r="B28" s="92" t="inlineStr">
        <is>
          <t>ARV (After Repair Value): The market value of the property after renovations are complete.</t>
        </is>
      </c>
      <c r="C28" s="54" t="n"/>
    </row>
    <row r="29" ht="18" customHeight="1">
      <c r="A29" s="51" t="n"/>
      <c r="B29" s="92" t="inlineStr">
        <is>
          <t>LTV (Loan-to-Value): The percentage of ARV the lender will loan. Typically 70–75% for investment property.</t>
        </is>
      </c>
      <c r="C29" s="54" t="n"/>
    </row>
    <row r="30" ht="18" customHeight="1">
      <c r="A30" s="51" t="n"/>
      <c r="B30" s="92" t="inlineStr">
        <is>
          <t>Infinite Return: Achieved when you pull out 100% of your initial investment at refinance.</t>
        </is>
      </c>
      <c r="C30" s="54" t="n"/>
    </row>
    <row r="31" ht="18" customHeight="1">
      <c r="A31" s="51" t="n"/>
      <c r="B31" s="92" t="inlineStr">
        <is>
          <t>DSCR (Debt Service Coverage Ratio): NOI divided by annual debt service. Most lenders require &gt; 1.25.</t>
        </is>
      </c>
      <c r="C31" s="54" t="n"/>
    </row>
    <row r="32" ht="18" customHeight="1">
      <c r="A32" s="51" t="n"/>
      <c r="B32" s="92" t="inlineStr">
        <is>
          <t>Cap Rate: Net Operating Income / ARV. A measure of property yield independent of financing.</t>
        </is>
      </c>
      <c r="C32" s="54" t="n"/>
    </row>
    <row r="33" ht="18" customHeight="1">
      <c r="A33" s="51" t="n"/>
      <c r="B33" s="92" t="inlineStr">
        <is>
          <t>Cash-on-Cash Return: Annual cash flow / cash invested. Measures return on YOUR money only.</t>
        </is>
      </c>
      <c r="C33" s="54" t="n"/>
    </row>
    <row r="34" ht="10" customHeight="1">
      <c r="A34" s="51" t="n"/>
      <c r="B34" s="54" t="n"/>
      <c r="C34" s="54" t="n"/>
    </row>
    <row r="35" ht="22" customHeight="1">
      <c r="A35" s="51" t="n"/>
      <c r="B35" s="90" t="inlineStr">
        <is>
          <t>Tips for a Strong BRRRR Deal</t>
        </is>
      </c>
      <c r="C35" s="54" t="n"/>
    </row>
    <row r="36" ht="18" customHeight="1">
      <c r="A36" s="51" t="n"/>
      <c r="B36" s="92" t="inlineStr">
        <is>
          <t>Buy at or below 70% of ARV (including rehab costs) to leave room for refinance equity.</t>
        </is>
      </c>
      <c r="C36" s="54" t="n"/>
    </row>
    <row r="37" ht="18" customHeight="1">
      <c r="A37" s="51" t="n"/>
      <c r="B37" s="92" t="inlineStr">
        <is>
          <t>Use a local property manager quote — do not assume you will self-manage forever.</t>
        </is>
      </c>
      <c r="C37" s="54" t="n"/>
    </row>
    <row r="38" ht="18" customHeight="1">
      <c r="A38" s="51" t="n"/>
      <c r="B38" s="92" t="inlineStr">
        <is>
          <t>Get a CMA (Comparative Market Analysis) from a local agent to confirm ARV before purchase.</t>
        </is>
      </c>
      <c r="C38" s="54" t="n"/>
    </row>
    <row r="39" ht="18" customHeight="1">
      <c r="A39" s="51" t="n"/>
      <c r="B39" s="92" t="inlineStr">
        <is>
          <t>Add 10–15% contingency to your rehab budget. Surprises happen.</t>
        </is>
      </c>
      <c r="C39" s="54" t="n"/>
    </row>
    <row r="40" ht="18" customHeight="1">
      <c r="A40" s="51" t="n"/>
      <c r="B40" s="92" t="inlineStr">
        <is>
          <t>Check DSCR requirements with your specific lender before underwriting a deal.</t>
        </is>
      </c>
      <c r="C40" s="54" t="n"/>
    </row>
    <row r="41" ht="18" customHeight="1">
      <c r="A41" s="51" t="n"/>
      <c r="B41" s="92" t="inlineStr">
        <is>
          <t>Run the numbers at both 5% and 10% vacancy to stress-test the deal.</t>
        </is>
      </c>
      <c r="C41" s="54" t="n"/>
    </row>
    <row r="42" ht="10" customHeight="1">
      <c r="A42" s="51" t="n"/>
      <c r="B42" s="54" t="n"/>
      <c r="C42" s="54" t="n"/>
    </row>
    <row r="43" ht="22" customHeight="1">
      <c r="A43" s="51" t="n"/>
      <c r="B43" s="90" t="inlineStr">
        <is>
          <t>About Trailhead Standard</t>
        </is>
      </c>
      <c r="C43" s="54" t="n"/>
    </row>
    <row r="44" ht="18" customHeight="1">
      <c r="A44" s="51" t="n"/>
      <c r="B44" s="92" t="inlineStr">
        <is>
          <t>Professional tools for independent investors. Built by operators, for operators.</t>
        </is>
      </c>
      <c r="C44" s="54" t="n"/>
    </row>
    <row r="45" ht="18" customHeight="1">
      <c r="A45" s="51" t="n"/>
      <c r="B45" s="92" t="inlineStr">
        <is>
          <t>Visit trailheadstandard.com for more tools and resources.</t>
        </is>
      </c>
      <c r="C45" s="5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3"/>
    <mergeCell ref="B2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2026-06-02T19:10:01Z</dcterms:created>
  <dcterms:modified xmlns:dcterms="http://purl.org/dc/terms/" xmlns:xsi="http://www.w3.org/2001/XMLSchema-instance" xsi:type="dcterms:W3CDTF">2026-06-09T11:00:06Z</dcterms:modified>
</cp:coreProperties>
</file>